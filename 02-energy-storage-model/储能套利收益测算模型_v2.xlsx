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算主页" sheetId="1" state="visible" r:id="rId1"/>
    <sheet xmlns:r="http://schemas.openxmlformats.org/officeDocument/2006/relationships" name="逐年收益表" sheetId="2" state="visible" r:id="rId2"/>
    <sheet xmlns:r="http://schemas.openxmlformats.org/officeDocument/2006/relationships" name="现金流与IRR" sheetId="3" state="visible" r:id="rId3"/>
    <sheet xmlns:r="http://schemas.openxmlformats.org/officeDocument/2006/relationships" name="敏感性分析" sheetId="4" state="visible" r:id="rId4"/>
    <sheet xmlns:r="http://schemas.openxmlformats.org/officeDocument/2006/relationships" name="情景分析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08080"/>
      <sz val="9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9F0F8"/>
        <bgColor rgb="00E9F0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10" fontId="7" fillId="7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逐年毛利与累计毛利</a:t>
            </a:r>
          </a:p>
        </rich>
      </tx>
    </title>
    <plotArea>
      <barChart>
        <barDir val="col"/>
        <grouping val="clustered"/>
        <ser>
          <idx val="0"/>
          <order val="0"/>
          <tx>
            <v>年度毛利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'逐年收益表'!$A$5:$A$14</f>
            </numRef>
          </cat>
          <val>
            <numRef>
              <f>'逐年收益表'!$H$5:$H$14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累计毛利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'逐年收益表'!$I$5:$I$14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有效容量衰减曲线（含DoD）</a:t>
            </a:r>
          </a:p>
        </rich>
      </tx>
    </title>
    <plotArea>
      <lineChart>
        <grouping val="standard"/>
        <ser>
          <idx val="0"/>
          <order val="0"/>
          <tx>
            <strRef>
              <f>'逐年收益表'!B4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'逐年收益表'!$A$5:$A$14</f>
            </numRef>
          </cat>
          <val>
            <numRef>
              <f>'逐年收益表'!$B$5:$B$14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累计折现现金流曲线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'现金流与IRR'!I4</f>
            </strRef>
          </tx>
          <spPr>
            <a:ln xmlns:a="http://schemas.openxmlformats.org/drawingml/2006/main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'现金流与IRR'!$A$5:$A$15</f>
            </numRef>
          </cat>
          <val>
            <numRef>
              <f>'现金流与IRR'!$I$5:$I$15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龙卷风图：各变量对NPV的影响幅度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'敏感性分析'!B15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numRef>
              <f>'敏感性分析'!$A$16:$A$21</f>
            </numRef>
          </cat>
          <val>
            <numRef>
              <f>'敏感性分析'!$B$16:$B$21</f>
            </numRef>
          </val>
        </ser>
        <ser>
          <idx val="1"/>
          <order val="1"/>
          <tx>
            <strRef>
              <f>'敏感性分析'!C15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'敏感性分析'!$A$16:$A$21</f>
            </numRef>
          </cat>
          <val>
            <numRef>
              <f>'敏感性分析'!$C$16:$C$21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NPV变化（万元）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三情景 NPV 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'情景分析'!A23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'情景分析'!$A$24</f>
            </numRef>
          </val>
        </ser>
        <ser>
          <idx val="1"/>
          <order val="1"/>
          <tx>
            <strRef>
              <f>'情景分析'!B23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'情景分析'!$B$24</f>
            </numRef>
          </val>
        </ser>
        <ser>
          <idx val="2"/>
          <order val="2"/>
          <tx>
            <strRef>
              <f>'情景分析'!C23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'情景分析'!$C$24</f>
            </numRef>
          </val>
        </ser>
        <ser>
          <idx val="3"/>
          <order val="3"/>
          <tx>
            <strRef>
              <f>'情景分析'!D23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三情景 IRR 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'情景分析'!A41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'情景分析'!$A$42</f>
            </numRef>
          </val>
        </ser>
        <ser>
          <idx val="1"/>
          <order val="1"/>
          <tx>
            <strRef>
              <f>'情景分析'!B41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'情景分析'!$B$42</f>
            </numRef>
          </val>
        </ser>
        <ser>
          <idx val="2"/>
          <order val="2"/>
          <tx>
            <strRef>
              <f>'情景分析'!C41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'情景分析'!$C$42</f>
            </numRef>
          </val>
        </ser>
        <ser>
          <idx val="3"/>
          <order val="3"/>
          <tx>
            <strRef>
              <f>'情景分析'!D41</f>
            </strRef>
          </tx>
          <spPr>
            <a:ln xmlns:a="http://schemas.openxmlformats.org/drawingml/2006/main">
              <a:prstDash val="solid"/>
            </a:ln>
          </spPr>
          <cat>
            <numRef>
              <f>'情景分析'!$B$23:$D$23</f>
            </numRef>
          </cat>
          <val>
            <numRef>
              <f>'情景分析'!$D$42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储能电站「谷充峰放」套利收益测算模型 v2.0</t>
        </is>
      </c>
    </row>
    <row r="2">
      <c r="A2" s="2" t="inlineStr">
        <is>
          <t>基于陕西省一般工商业分时电价  |  含IRR/NPV/多维度敏感性分析</t>
        </is>
      </c>
    </row>
    <row r="3"/>
    <row r="4" ht="24" customHeight="1">
      <c r="A4" s="3" t="inlineStr">
        <is>
          <t>▎输入参数（修改蓝色区域数值，所有结果自动更新）</t>
        </is>
      </c>
      <c r="B4" s="4" t="n"/>
      <c r="C4" s="4" t="n"/>
      <c r="D4" s="4" t="n"/>
      <c r="E4" s="4" t="n"/>
      <c r="F4" s="4" t="n"/>
      <c r="G4" s="4" t="n"/>
      <c r="H4" s="4" t="n"/>
    </row>
    <row r="5"/>
    <row r="6">
      <c r="A6" s="5" t="inlineStr">
        <is>
          <t>【电价参数】</t>
        </is>
      </c>
    </row>
    <row r="7"/>
    <row r="8">
      <c r="A8" s="6" t="inlineStr">
        <is>
          <t>峰段电价（元/kWh）</t>
        </is>
      </c>
      <c r="C8" s="7" t="n">
        <v>1.2</v>
      </c>
      <c r="E8" s="8" t="inlineStr">
        <is>
          <t>陕西一般工商业峰段</t>
        </is>
      </c>
    </row>
    <row r="9">
      <c r="A9" s="6" t="inlineStr">
        <is>
          <t>谷段电价（元/kWh）</t>
        </is>
      </c>
      <c r="C9" s="7" t="n">
        <v>0.3</v>
      </c>
      <c r="E9" s="8" t="inlineStr">
        <is>
          <t>陕西一般工商业谷段</t>
        </is>
      </c>
    </row>
    <row r="10">
      <c r="A10" s="6" t="inlineStr">
        <is>
          <t>平时段电价（元/kWh）</t>
        </is>
      </c>
      <c r="C10" s="7" t="n">
        <v>0.65</v>
      </c>
      <c r="E10" s="8" t="inlineStr">
        <is>
          <t>参考值·平段不参与套利</t>
        </is>
      </c>
    </row>
    <row r="11">
      <c r="A11" s="6" t="inlineStr">
        <is>
          <t>峰谷价差（元/kWh）</t>
        </is>
      </c>
      <c r="C11" s="7">
        <f>B8-B9</f>
        <v/>
      </c>
      <c r="E11" s="8">
        <f>峰段-谷段，自动计算</f>
        <v/>
      </c>
    </row>
    <row r="12"/>
    <row r="13">
      <c r="A13" s="5" t="inlineStr">
        <is>
          <t>【储能系统参数】</t>
        </is>
      </c>
    </row>
    <row r="14"/>
    <row r="15">
      <c r="A15" s="6" t="inlineStr">
        <is>
          <t>额定容量（MWh）</t>
        </is>
      </c>
      <c r="C15" s="9" t="n">
        <v>100</v>
      </c>
      <c r="E15" s="8" t="inlineStr">
        <is>
          <t>交流侧可用容量</t>
        </is>
      </c>
    </row>
    <row r="16">
      <c r="A16" s="6" t="inlineStr">
        <is>
          <t>充放电综合效率（RTE）</t>
        </is>
      </c>
      <c r="C16" s="10" t="n">
        <v>0.9</v>
      </c>
      <c r="E16" s="8" t="inlineStr">
        <is>
          <t>往返效率=放电量/充电量</t>
        </is>
      </c>
    </row>
    <row r="17">
      <c r="A17" s="6" t="inlineStr">
        <is>
          <t xml:space="preserve">  其中：充电效率</t>
        </is>
      </c>
      <c r="C17" s="10">
        <f>SQRT(B16)</f>
        <v/>
      </c>
      <c r="E17" s="8">
        <f>√RTE，自动计算</f>
        <v/>
      </c>
    </row>
    <row r="18">
      <c r="A18" s="6" t="inlineStr">
        <is>
          <t xml:space="preserve">  其中：放电效率</t>
        </is>
      </c>
      <c r="C18" s="10">
        <f>SQRT(B16)</f>
        <v/>
      </c>
      <c r="E18" s="8">
        <f>√RTE，自动计算</f>
        <v/>
      </c>
    </row>
    <row r="19">
      <c r="A19" s="6" t="inlineStr">
        <is>
          <t>放电深度（DoD）</t>
        </is>
      </c>
      <c r="C19" s="10" t="n">
        <v>0.95</v>
      </c>
      <c r="E19" s="8" t="inlineStr">
        <is>
          <t>实际可用容量比例</t>
        </is>
      </c>
    </row>
    <row r="20">
      <c r="A20" s="6" t="inlineStr">
        <is>
          <t>循环寿命（次）</t>
        </is>
      </c>
      <c r="C20" s="9" t="n">
        <v>5000</v>
      </c>
      <c r="E20" s="8" t="inlineStr">
        <is>
          <t>至容量衰减至80%</t>
        </is>
      </c>
    </row>
    <row r="21">
      <c r="A21" s="6" t="inlineStr">
        <is>
          <t>年容量衰减率</t>
        </is>
      </c>
      <c r="C21" s="10" t="n">
        <v>0.02</v>
      </c>
      <c r="E21" s="8" t="inlineStr">
        <is>
          <t>日历+循环老化综合</t>
        </is>
      </c>
    </row>
    <row r="22"/>
    <row r="23">
      <c r="A23" s="5" t="inlineStr">
        <is>
          <t>【运营参数】</t>
        </is>
      </c>
    </row>
    <row r="24"/>
    <row r="25">
      <c r="A25" s="6" t="inlineStr">
        <is>
          <t>每日循环次数</t>
        </is>
      </c>
      <c r="C25" s="9" t="n">
        <v>1</v>
      </c>
      <c r="E25" s="8" t="inlineStr">
        <is>
          <t>谷充峰放=1次完整循环</t>
        </is>
      </c>
    </row>
    <row r="26">
      <c r="A26" s="6" t="inlineStr">
        <is>
          <t>年运营天数</t>
        </is>
      </c>
      <c r="C26" s="9" t="n">
        <v>330</v>
      </c>
      <c r="E26" s="8" t="inlineStr">
        <is>
          <t>扣除检修停机约35天</t>
        </is>
      </c>
    </row>
    <row r="27">
      <c r="A27" s="6" t="inlineStr">
        <is>
          <t>年循环次数</t>
        </is>
      </c>
      <c r="C27" s="9">
        <f>B25*B26</f>
        <v/>
      </c>
      <c r="E27" s="8">
        <f>每日次数×年天数</f>
        <v/>
      </c>
    </row>
    <row r="28">
      <c r="A28" s="6" t="inlineStr">
        <is>
          <t>项目运营年限</t>
        </is>
      </c>
      <c r="C28" s="9" t="n">
        <v>10</v>
      </c>
      <c r="E28" s="8" t="inlineStr">
        <is>
          <t>测算周期</t>
        </is>
      </c>
    </row>
    <row r="29"/>
    <row r="30">
      <c r="A30" s="5" t="inlineStr">
        <is>
          <t>【投资与财务参数】</t>
        </is>
      </c>
    </row>
    <row r="31"/>
    <row r="32">
      <c r="A32" s="6" t="inlineStr">
        <is>
          <t>单位投资成本（元/Wh）</t>
        </is>
      </c>
      <c r="C32" s="7" t="n">
        <v>1.8</v>
      </c>
      <c r="E32" s="8" t="inlineStr">
        <is>
          <t>行业区间1.5-2.0元/Wh</t>
        </is>
      </c>
    </row>
    <row r="33">
      <c r="A33" s="6" t="inlineStr">
        <is>
          <t>初始总投资（万元）</t>
        </is>
      </c>
      <c r="C33" s="7">
        <f>B15*B32*100</f>
        <v/>
      </c>
      <c r="E33" s="8">
        <f>容量MWh×投资元/Wh×100</f>
        <v/>
      </c>
    </row>
    <row r="34">
      <c r="A34" s="6" t="inlineStr">
        <is>
          <t>年运维费率</t>
        </is>
      </c>
      <c r="C34" s="10" t="n">
        <v>0.02</v>
      </c>
      <c r="E34" s="8" t="inlineStr">
        <is>
          <t>占初始投资比例</t>
        </is>
      </c>
    </row>
    <row r="35">
      <c r="A35" s="6" t="inlineStr">
        <is>
          <t>折现率（WACC）</t>
        </is>
      </c>
      <c r="C35" s="10" t="n">
        <v>0.08</v>
      </c>
      <c r="E35" s="8" t="inlineStr">
        <is>
          <t>加权平均资本成本</t>
        </is>
      </c>
    </row>
    <row r="36">
      <c r="A36" s="6" t="inlineStr">
        <is>
          <t>企业所得税率</t>
        </is>
      </c>
      <c r="C36" s="10" t="n">
        <v>0.25</v>
      </c>
      <c r="E36" s="8" t="inlineStr">
        <is>
          <t>用于净利润计算·可设为0忽略</t>
        </is>
      </c>
    </row>
    <row r="37"/>
    <row r="38" ht="24" customHeight="1">
      <c r="A38" s="3" t="inlineStr">
        <is>
          <t>▎单次循环收益测算（第1年，无衰减，以100MWh容量为基准）</t>
        </is>
      </c>
      <c r="B38" s="4" t="n"/>
      <c r="C38" s="4" t="n"/>
      <c r="D38" s="4" t="n"/>
      <c r="E38" s="4" t="n"/>
      <c r="F38" s="4" t="n"/>
      <c r="G38" s="4" t="n"/>
      <c r="H38" s="4" t="n"/>
    </row>
    <row r="39"/>
    <row r="40">
      <c r="A40" s="11" t="inlineStr">
        <is>
          <t>有效可用容量（kWh）</t>
        </is>
      </c>
      <c r="C40" s="12">
        <f>B15*1000*B19</f>
        <v/>
      </c>
      <c r="E40" s="13">
        <f>B15*1000*B19</f>
        <v/>
      </c>
      <c r="F40" s="14" t="inlineStr">
        <is>
          <t>kWh</t>
        </is>
      </c>
      <c r="G40" s="12" t="inlineStr">
        <is>
          <t>额定容量×1000×DoD</t>
        </is>
      </c>
    </row>
    <row r="41">
      <c r="A41" s="11" t="inlineStr">
        <is>
          <t>充电量·电网取电（kWh）</t>
        </is>
      </c>
      <c r="C41" s="12">
        <f>B40/B17</f>
        <v/>
      </c>
      <c r="E41" s="13">
        <f>B40/B17</f>
        <v/>
      </c>
      <c r="F41" s="14" t="inlineStr">
        <is>
          <t>kWh</t>
        </is>
      </c>
      <c r="G41" s="12" t="inlineStr">
        <is>
          <t>有效容量÷充电效率（含损耗）</t>
        </is>
      </c>
    </row>
    <row r="42">
      <c r="A42" s="11" t="inlineStr">
        <is>
          <t>充电成本（万元）</t>
        </is>
      </c>
      <c r="C42" s="12">
        <f>B41*B9/10000</f>
        <v/>
      </c>
      <c r="E42" s="15">
        <f>B41*B9/10000</f>
        <v/>
      </c>
      <c r="F42" s="14" t="inlineStr">
        <is>
          <t>万元</t>
        </is>
      </c>
      <c r="G42" s="12" t="inlineStr">
        <is>
          <t>充电量×谷段电价÷10000</t>
        </is>
      </c>
    </row>
    <row r="43">
      <c r="A43" s="11" t="inlineStr">
        <is>
          <t>放电量·上网售电（kWh）</t>
        </is>
      </c>
      <c r="C43" s="12">
        <f>B40*B18</f>
        <v/>
      </c>
      <c r="E43" s="13">
        <f>B40*B18</f>
        <v/>
      </c>
      <c r="F43" s="14" t="inlineStr">
        <is>
          <t>kWh</t>
        </is>
      </c>
      <c r="G43" s="12" t="inlineStr">
        <is>
          <t>有效容量×放电效率（含损耗）</t>
        </is>
      </c>
    </row>
    <row r="44">
      <c r="A44" s="11" t="inlineStr">
        <is>
          <t>放电收入（万元）</t>
        </is>
      </c>
      <c r="C44" s="12">
        <f>B43*B8/10000</f>
        <v/>
      </c>
      <c r="E44" s="15">
        <f>B43*B8/10000</f>
        <v/>
      </c>
      <c r="F44" s="14" t="inlineStr">
        <is>
          <t>万元</t>
        </is>
      </c>
      <c r="G44" s="12" t="inlineStr">
        <is>
          <t>放电量×峰段电价÷10000</t>
        </is>
      </c>
    </row>
    <row r="45">
      <c r="A45" s="11" t="inlineStr">
        <is>
          <t>单次循环毛利（万元）</t>
        </is>
      </c>
      <c r="C45" s="12">
        <f>B44-B42</f>
        <v/>
      </c>
      <c r="E45" s="15">
        <f>B44-B42</f>
        <v/>
      </c>
      <c r="F45" s="14" t="inlineStr">
        <is>
          <t>万元</t>
        </is>
      </c>
      <c r="G45" s="12" t="inlineStr">
        <is>
          <t>放电收入-充电成本</t>
        </is>
      </c>
    </row>
    <row r="46">
      <c r="A46" s="11" t="inlineStr">
        <is>
          <t>单次循环毛利率</t>
        </is>
      </c>
      <c r="C46" s="12">
        <f>B45/B44</f>
        <v/>
      </c>
      <c r="E46" s="16">
        <f>B45/B44</f>
        <v/>
      </c>
      <c r="F46" s="14" t="inlineStr">
        <is>
          <t>%</t>
        </is>
      </c>
      <c r="G46" s="12" t="inlineStr">
        <is>
          <t>毛利÷收入</t>
        </is>
      </c>
    </row>
    <row r="47"/>
    <row r="48" ht="24" customHeight="1">
      <c r="A48" s="3" t="inlineStr">
        <is>
          <t>▎年度收益汇总 &amp; 核心财务指标（第1年为基准）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11" t="inlineStr">
        <is>
          <t>年循环次数（次）</t>
        </is>
      </c>
      <c r="C49" s="12">
        <f>B27</f>
        <v/>
      </c>
      <c r="E49" s="17">
        <f>B27</f>
        <v/>
      </c>
      <c r="F49" s="14" t="inlineStr">
        <is>
          <t>次</t>
        </is>
      </c>
      <c r="G49" s="12" t="inlineStr">
        <is>
          <t>谷充峰放循环</t>
        </is>
      </c>
    </row>
    <row r="50">
      <c r="A50" s="11" t="inlineStr">
        <is>
          <t>年充电总成本（万元）</t>
        </is>
      </c>
      <c r="C50" s="12">
        <f>B42*B49</f>
        <v/>
      </c>
      <c r="E50" s="15">
        <f>B42*B49</f>
        <v/>
      </c>
      <c r="F50" s="14" t="inlineStr">
        <is>
          <t>万元</t>
        </is>
      </c>
      <c r="G50" s="12" t="inlineStr">
        <is>
          <t>单次成本×循环次数</t>
        </is>
      </c>
    </row>
    <row r="51">
      <c r="A51" s="11" t="inlineStr">
        <is>
          <t>年放电总收入（万元）</t>
        </is>
      </c>
      <c r="C51" s="12">
        <f>B44*B49</f>
        <v/>
      </c>
      <c r="E51" s="15">
        <f>B44*B49</f>
        <v/>
      </c>
      <c r="F51" s="14" t="inlineStr">
        <is>
          <t>万元</t>
        </is>
      </c>
      <c r="G51" s="12" t="inlineStr">
        <is>
          <t>单次收入×循环次数</t>
        </is>
      </c>
    </row>
    <row r="52">
      <c r="A52" s="11" t="inlineStr">
        <is>
          <t>年毛利（万元）</t>
        </is>
      </c>
      <c r="C52" s="12">
        <f>B51-B50</f>
        <v/>
      </c>
      <c r="E52" s="15">
        <f>B51-B50</f>
        <v/>
      </c>
      <c r="F52" s="14" t="inlineStr">
        <is>
          <t>万元</t>
        </is>
      </c>
      <c r="G52" s="12" t="inlineStr">
        <is>
          <t>收入-成本</t>
        </is>
      </c>
    </row>
    <row r="53">
      <c r="A53" s="11" t="inlineStr">
        <is>
          <t>年运维费用（万元）</t>
        </is>
      </c>
      <c r="C53" s="12">
        <f>B33*B34</f>
        <v/>
      </c>
      <c r="E53" s="15">
        <f>B33*B34</f>
        <v/>
      </c>
      <c r="F53" s="14" t="inlineStr">
        <is>
          <t>万元</t>
        </is>
      </c>
      <c r="G53" s="12" t="inlineStr">
        <is>
          <t>投资×运维费率</t>
        </is>
      </c>
    </row>
    <row r="54">
      <c r="A54" s="11" t="inlineStr">
        <is>
          <t>年税前利润（万元）</t>
        </is>
      </c>
      <c r="C54" s="12">
        <f>B52-B53</f>
        <v/>
      </c>
      <c r="E54" s="15">
        <f>B52-B53</f>
        <v/>
      </c>
      <c r="F54" s="14" t="inlineStr">
        <is>
          <t>万元</t>
        </is>
      </c>
      <c r="G54" s="12" t="inlineStr">
        <is>
          <t>毛利-运维费</t>
        </is>
      </c>
    </row>
    <row r="55">
      <c r="A55" s="11" t="inlineStr">
        <is>
          <t>所得税（万元）</t>
        </is>
      </c>
      <c r="C55" s="12">
        <f>B54*B36</f>
        <v/>
      </c>
      <c r="E55" s="15">
        <f>B54*B36</f>
        <v/>
      </c>
      <c r="F55" s="14" t="inlineStr">
        <is>
          <t>万元</t>
        </is>
      </c>
      <c r="G55" s="12" t="inlineStr">
        <is>
          <t>税前利润×税率</t>
        </is>
      </c>
    </row>
    <row r="56">
      <c r="A56" s="11" t="inlineStr">
        <is>
          <t>年净利润（万元）</t>
        </is>
      </c>
      <c r="C56" s="12">
        <f>B54-B55</f>
        <v/>
      </c>
      <c r="E56" s="15">
        <f>B54-B55</f>
        <v/>
      </c>
      <c r="F56" s="14" t="inlineStr">
        <is>
          <t>万元</t>
        </is>
      </c>
      <c r="G56" s="12" t="inlineStr">
        <is>
          <t>税前利润-所得税</t>
        </is>
      </c>
    </row>
    <row r="57"/>
    <row r="58"/>
    <row r="59" ht="24" customHeight="1">
      <c r="A59" s="3" t="inlineStr">
        <is>
          <t>▎核心财务指标（详见「现金流与IRR」工作表）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18" t="inlineStr">
        <is>
          <t>10年累计净利润（万元）</t>
        </is>
      </c>
      <c r="C60" s="12">
        <f>'现金流与IRR'!F19</f>
        <v/>
      </c>
      <c r="E60" s="15">
        <f>'现金流与IRR'!F19</f>
        <v/>
      </c>
      <c r="G60" s="12" t="inlineStr">
        <is>
          <t>净利润总和</t>
        </is>
      </c>
    </row>
    <row r="61">
      <c r="A61" s="18" t="inlineStr">
        <is>
          <t>项目IRR（内部收益率）</t>
        </is>
      </c>
      <c r="C61" s="12">
        <f>'现金流与IRR'!F21</f>
        <v/>
      </c>
      <c r="E61" s="16">
        <f>'现金流与IRR'!F21</f>
        <v/>
      </c>
      <c r="G61" s="12" t="inlineStr">
        <is>
          <t>使NPV=0的折现率</t>
        </is>
      </c>
    </row>
    <row r="62">
      <c r="A62" s="18" t="inlineStr">
        <is>
          <t>NPV·净现值（万元）</t>
        </is>
      </c>
      <c r="C62" s="12">
        <f>'现金流与IRR'!F22</f>
        <v/>
      </c>
      <c r="E62" s="15">
        <f>'现金流与IRR'!F22</f>
        <v/>
      </c>
      <c r="G62" s="12" t="inlineStr">
        <is>
          <t>折现率=8%下的净现值</t>
        </is>
      </c>
    </row>
    <row r="63">
      <c r="A63" s="18" t="inlineStr">
        <is>
          <t>静态投资回收期（年）</t>
        </is>
      </c>
      <c r="C63" s="12">
        <f>B33/(B52-B53)</f>
        <v/>
      </c>
      <c r="E63" s="19">
        <f>B33/(B52-B53)</f>
        <v/>
      </c>
      <c r="G63" s="12" t="inlineStr">
        <is>
          <t>总投资÷年税前利润·粗略估算</t>
        </is>
      </c>
    </row>
    <row r="64">
      <c r="A64" s="18" t="inlineStr">
        <is>
          <t>动态投资回收期（年）</t>
        </is>
      </c>
      <c r="C64" s="12">
        <f>'现金流与IRR'!F25</f>
        <v/>
      </c>
      <c r="E64" s="19">
        <f>'现金流与IRR'!F25</f>
        <v/>
      </c>
      <c r="G64" s="12" t="inlineStr">
        <is>
          <t>考虑折现的回收期</t>
        </is>
      </c>
    </row>
  </sheetData>
  <mergeCells count="110">
    <mergeCell ref="A15:B15"/>
    <mergeCell ref="C62:D62"/>
    <mergeCell ref="A64:B64"/>
    <mergeCell ref="A51:B51"/>
    <mergeCell ref="E15:G15"/>
    <mergeCell ref="C64:D64"/>
    <mergeCell ref="A54:B54"/>
    <mergeCell ref="C54:D54"/>
    <mergeCell ref="A41:B41"/>
    <mergeCell ref="C63:D63"/>
    <mergeCell ref="C41:D41"/>
    <mergeCell ref="C50:D50"/>
    <mergeCell ref="E26:G26"/>
    <mergeCell ref="A56:B56"/>
    <mergeCell ref="A27:B27"/>
    <mergeCell ref="C56:D56"/>
    <mergeCell ref="E16:G16"/>
    <mergeCell ref="C43:D43"/>
    <mergeCell ref="A33:B33"/>
    <mergeCell ref="A42:B42"/>
    <mergeCell ref="E18:G18"/>
    <mergeCell ref="A17:B17"/>
    <mergeCell ref="A53:B53"/>
    <mergeCell ref="A35:B35"/>
    <mergeCell ref="A62:B62"/>
    <mergeCell ref="A19:B19"/>
    <mergeCell ref="A38:H38"/>
    <mergeCell ref="A28:B28"/>
    <mergeCell ref="E35:G35"/>
    <mergeCell ref="G44:H44"/>
    <mergeCell ref="A9:B9"/>
    <mergeCell ref="E20:G20"/>
    <mergeCell ref="E28:G28"/>
    <mergeCell ref="A30:B30"/>
    <mergeCell ref="A11:B11"/>
    <mergeCell ref="A45:B45"/>
    <mergeCell ref="C45:D45"/>
    <mergeCell ref="G61:H61"/>
    <mergeCell ref="A61:B61"/>
    <mergeCell ref="A46:B46"/>
    <mergeCell ref="C40:D40"/>
    <mergeCell ref="G62:H62"/>
    <mergeCell ref="G49:H49"/>
    <mergeCell ref="E32:G32"/>
    <mergeCell ref="A26:B26"/>
    <mergeCell ref="C60:D60"/>
    <mergeCell ref="A2:H2"/>
    <mergeCell ref="A8:B8"/>
    <mergeCell ref="E33:G33"/>
    <mergeCell ref="A52:B52"/>
    <mergeCell ref="A63:B63"/>
    <mergeCell ref="E8:G8"/>
    <mergeCell ref="A10:B10"/>
    <mergeCell ref="E17:G17"/>
    <mergeCell ref="G60:H60"/>
    <mergeCell ref="C53:D53"/>
    <mergeCell ref="A34:B34"/>
    <mergeCell ref="E10:G10"/>
    <mergeCell ref="A48:H48"/>
    <mergeCell ref="E19:G19"/>
    <mergeCell ref="A59:H59"/>
    <mergeCell ref="A49:B49"/>
    <mergeCell ref="G42:H42"/>
    <mergeCell ref="E34:G34"/>
    <mergeCell ref="E9:G9"/>
    <mergeCell ref="A36:B36"/>
    <mergeCell ref="E36:G36"/>
    <mergeCell ref="E11:G11"/>
    <mergeCell ref="C44:D44"/>
    <mergeCell ref="A55:B55"/>
    <mergeCell ref="A21:B21"/>
    <mergeCell ref="C46:D46"/>
    <mergeCell ref="C51:D51"/>
    <mergeCell ref="A32:B32"/>
    <mergeCell ref="C61:D61"/>
    <mergeCell ref="E21:G21"/>
    <mergeCell ref="A23:B23"/>
    <mergeCell ref="G64:H64"/>
    <mergeCell ref="G51:H51"/>
    <mergeCell ref="A43:B43"/>
    <mergeCell ref="G54:H54"/>
    <mergeCell ref="G63:H63"/>
    <mergeCell ref="G41:H41"/>
    <mergeCell ref="G50:H50"/>
    <mergeCell ref="A40:B40"/>
    <mergeCell ref="G56:H56"/>
    <mergeCell ref="C49:D49"/>
    <mergeCell ref="G43:H43"/>
    <mergeCell ref="G52:H52"/>
    <mergeCell ref="A60:B60"/>
    <mergeCell ref="C42:D42"/>
    <mergeCell ref="A1:H1"/>
    <mergeCell ref="A6:B6"/>
    <mergeCell ref="A16:B16"/>
    <mergeCell ref="A25:B25"/>
    <mergeCell ref="E27:G27"/>
    <mergeCell ref="C55:D55"/>
    <mergeCell ref="G53:H53"/>
    <mergeCell ref="A18:B18"/>
    <mergeCell ref="E25:G25"/>
    <mergeCell ref="A50:B50"/>
    <mergeCell ref="G45:H45"/>
    <mergeCell ref="C52:D52"/>
    <mergeCell ref="G55:H55"/>
    <mergeCell ref="A4:H4"/>
    <mergeCell ref="A20:B20"/>
    <mergeCell ref="A13:B13"/>
    <mergeCell ref="A44:B44"/>
    <mergeCell ref="G46:H46"/>
    <mergeCell ref="G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10年逐年收益测算明细</t>
        </is>
      </c>
    </row>
    <row r="2">
      <c r="A2" s="2" t="inlineStr">
        <is>
          <t>考虑容量衰减 + 充放电效率不变 + 电价不变</t>
        </is>
      </c>
    </row>
    <row r="3"/>
    <row r="4" ht="40" customHeight="1">
      <c r="A4" s="20" t="inlineStr">
        <is>
          <t>年份</t>
        </is>
      </c>
      <c r="B4" s="20" t="inlineStr">
        <is>
          <t>有效容量
(MWh)</t>
        </is>
      </c>
      <c r="C4" s="20" t="inlineStr">
        <is>
          <t>有效容量
(kWh)</t>
        </is>
      </c>
      <c r="D4" s="20" t="inlineStr">
        <is>
          <t>单次充电
成本(万元)</t>
        </is>
      </c>
      <c r="E4" s="20" t="inlineStr">
        <is>
          <t>单次放电
收入(万元)</t>
        </is>
      </c>
      <c r="F4" s="20" t="inlineStr">
        <is>
          <t>单次毛利
(万元)</t>
        </is>
      </c>
      <c r="G4" s="20" t="inlineStr">
        <is>
          <t>年循环
次数</t>
        </is>
      </c>
      <c r="H4" s="20" t="inlineStr">
        <is>
          <t>年度毛利
(万元)</t>
        </is>
      </c>
      <c r="I4" s="20" t="inlineStr">
        <is>
          <t>累计毛利
(万元)</t>
        </is>
      </c>
    </row>
    <row r="5">
      <c r="A5" s="14" t="inlineStr">
        <is>
          <t>第1年</t>
        </is>
      </c>
      <c r="B5" s="21">
        <f>'测算主页'!B15*'测算主页'!B19</f>
        <v/>
      </c>
      <c r="C5" s="13">
        <f>B5*1000</f>
        <v/>
      </c>
      <c r="D5" s="22">
        <f>'测算主页'!B9*C5/'测算主页'!B17/10000</f>
        <v/>
      </c>
      <c r="E5" s="22">
        <f>'测算主页'!B8*C5*'测算主页'!B18/10000</f>
        <v/>
      </c>
      <c r="F5" s="21">
        <f>E5-D5</f>
        <v/>
      </c>
      <c r="G5" s="23">
        <f>'测算主页'!B27</f>
        <v/>
      </c>
      <c r="H5" s="15">
        <f>F5*G5</f>
        <v/>
      </c>
      <c r="I5" s="15">
        <f>H5</f>
        <v/>
      </c>
    </row>
    <row r="6">
      <c r="A6" s="14" t="inlineStr">
        <is>
          <t>第2年</t>
        </is>
      </c>
      <c r="B6" s="21">
        <f>B5*(1-'测算主页'!B21)</f>
        <v/>
      </c>
      <c r="C6" s="13">
        <f>B6*1000</f>
        <v/>
      </c>
      <c r="D6" s="22">
        <f>'测算主页'!B9*C6/'测算主页'!B17/10000</f>
        <v/>
      </c>
      <c r="E6" s="22">
        <f>'测算主页'!B8*C6*'测算主页'!B18/10000</f>
        <v/>
      </c>
      <c r="F6" s="21">
        <f>E6-D6</f>
        <v/>
      </c>
      <c r="G6" s="23">
        <f>'测算主页'!B27</f>
        <v/>
      </c>
      <c r="H6" s="15">
        <f>F6*G6</f>
        <v/>
      </c>
      <c r="I6" s="15">
        <f>I5+H6</f>
        <v/>
      </c>
    </row>
    <row r="7">
      <c r="A7" s="14" t="inlineStr">
        <is>
          <t>第3年</t>
        </is>
      </c>
      <c r="B7" s="21">
        <f>B6*(1-'测算主页'!B21)</f>
        <v/>
      </c>
      <c r="C7" s="13">
        <f>B7*1000</f>
        <v/>
      </c>
      <c r="D7" s="22">
        <f>'测算主页'!B9*C7/'测算主页'!B17/10000</f>
        <v/>
      </c>
      <c r="E7" s="22">
        <f>'测算主页'!B8*C7*'测算主页'!B18/10000</f>
        <v/>
      </c>
      <c r="F7" s="21">
        <f>E7-D7</f>
        <v/>
      </c>
      <c r="G7" s="23">
        <f>'测算主页'!B27</f>
        <v/>
      </c>
      <c r="H7" s="15">
        <f>F7*G7</f>
        <v/>
      </c>
      <c r="I7" s="15">
        <f>I6+H7</f>
        <v/>
      </c>
    </row>
    <row r="8">
      <c r="A8" s="14" t="inlineStr">
        <is>
          <t>第4年</t>
        </is>
      </c>
      <c r="B8" s="21">
        <f>B7*(1-'测算主页'!B21)</f>
        <v/>
      </c>
      <c r="C8" s="13">
        <f>B8*1000</f>
        <v/>
      </c>
      <c r="D8" s="22">
        <f>'测算主页'!B9*C8/'测算主页'!B17/10000</f>
        <v/>
      </c>
      <c r="E8" s="22">
        <f>'测算主页'!B8*C8*'测算主页'!B18/10000</f>
        <v/>
      </c>
      <c r="F8" s="21">
        <f>E8-D8</f>
        <v/>
      </c>
      <c r="G8" s="23">
        <f>'测算主页'!B27</f>
        <v/>
      </c>
      <c r="H8" s="15">
        <f>F8*G8</f>
        <v/>
      </c>
      <c r="I8" s="15">
        <f>I7+H8</f>
        <v/>
      </c>
    </row>
    <row r="9">
      <c r="A9" s="14" t="inlineStr">
        <is>
          <t>第5年</t>
        </is>
      </c>
      <c r="B9" s="21">
        <f>B8*(1-'测算主页'!B21)</f>
        <v/>
      </c>
      <c r="C9" s="13">
        <f>B9*1000</f>
        <v/>
      </c>
      <c r="D9" s="22">
        <f>'测算主页'!B9*C9/'测算主页'!B17/10000</f>
        <v/>
      </c>
      <c r="E9" s="22">
        <f>'测算主页'!B8*C9*'测算主页'!B18/10000</f>
        <v/>
      </c>
      <c r="F9" s="21">
        <f>E9-D9</f>
        <v/>
      </c>
      <c r="G9" s="23">
        <f>'测算主页'!B27</f>
        <v/>
      </c>
      <c r="H9" s="15">
        <f>F9*G9</f>
        <v/>
      </c>
      <c r="I9" s="15">
        <f>I8+H9</f>
        <v/>
      </c>
    </row>
    <row r="10">
      <c r="A10" s="14" t="inlineStr">
        <is>
          <t>第6年</t>
        </is>
      </c>
      <c r="B10" s="21">
        <f>B9*(1-'测算主页'!B21)</f>
        <v/>
      </c>
      <c r="C10" s="13">
        <f>B10*1000</f>
        <v/>
      </c>
      <c r="D10" s="22">
        <f>'测算主页'!B9*C10/'测算主页'!B17/10000</f>
        <v/>
      </c>
      <c r="E10" s="22">
        <f>'测算主页'!B8*C10*'测算主页'!B18/10000</f>
        <v/>
      </c>
      <c r="F10" s="21">
        <f>E10-D10</f>
        <v/>
      </c>
      <c r="G10" s="23">
        <f>'测算主页'!B27</f>
        <v/>
      </c>
      <c r="H10" s="15">
        <f>F10*G10</f>
        <v/>
      </c>
      <c r="I10" s="15">
        <f>I9+H10</f>
        <v/>
      </c>
    </row>
    <row r="11">
      <c r="A11" s="14" t="inlineStr">
        <is>
          <t>第7年</t>
        </is>
      </c>
      <c r="B11" s="21">
        <f>B10*(1-'测算主页'!B21)</f>
        <v/>
      </c>
      <c r="C11" s="13">
        <f>B11*1000</f>
        <v/>
      </c>
      <c r="D11" s="22">
        <f>'测算主页'!B9*C11/'测算主页'!B17/10000</f>
        <v/>
      </c>
      <c r="E11" s="22">
        <f>'测算主页'!B8*C11*'测算主页'!B18/10000</f>
        <v/>
      </c>
      <c r="F11" s="21">
        <f>E11-D11</f>
        <v/>
      </c>
      <c r="G11" s="23">
        <f>'测算主页'!B27</f>
        <v/>
      </c>
      <c r="H11" s="15">
        <f>F11*G11</f>
        <v/>
      </c>
      <c r="I11" s="15">
        <f>I10+H11</f>
        <v/>
      </c>
    </row>
    <row r="12">
      <c r="A12" s="14" t="inlineStr">
        <is>
          <t>第8年</t>
        </is>
      </c>
      <c r="B12" s="21">
        <f>B11*(1-'测算主页'!B21)</f>
        <v/>
      </c>
      <c r="C12" s="13">
        <f>B12*1000</f>
        <v/>
      </c>
      <c r="D12" s="22">
        <f>'测算主页'!B9*C12/'测算主页'!B17/10000</f>
        <v/>
      </c>
      <c r="E12" s="22">
        <f>'测算主页'!B8*C12*'测算主页'!B18/10000</f>
        <v/>
      </c>
      <c r="F12" s="21">
        <f>E12-D12</f>
        <v/>
      </c>
      <c r="G12" s="23">
        <f>'测算主页'!B27</f>
        <v/>
      </c>
      <c r="H12" s="15">
        <f>F12*G12</f>
        <v/>
      </c>
      <c r="I12" s="15">
        <f>I11+H12</f>
        <v/>
      </c>
    </row>
    <row r="13">
      <c r="A13" s="14" t="inlineStr">
        <is>
          <t>第9年</t>
        </is>
      </c>
      <c r="B13" s="21">
        <f>B12*(1-'测算主页'!B21)</f>
        <v/>
      </c>
      <c r="C13" s="13">
        <f>B13*1000</f>
        <v/>
      </c>
      <c r="D13" s="22">
        <f>'测算主页'!B9*C13/'测算主页'!B17/10000</f>
        <v/>
      </c>
      <c r="E13" s="22">
        <f>'测算主页'!B8*C13*'测算主页'!B18/10000</f>
        <v/>
      </c>
      <c r="F13" s="21">
        <f>E13-D13</f>
        <v/>
      </c>
      <c r="G13" s="23">
        <f>'测算主页'!B27</f>
        <v/>
      </c>
      <c r="H13" s="15">
        <f>F13*G13</f>
        <v/>
      </c>
      <c r="I13" s="15">
        <f>I12+H13</f>
        <v/>
      </c>
    </row>
    <row r="14">
      <c r="A14" s="14" t="inlineStr">
        <is>
          <t>第10年</t>
        </is>
      </c>
      <c r="B14" s="21">
        <f>B13*(1-'测算主页'!B21)</f>
        <v/>
      </c>
      <c r="C14" s="13">
        <f>B14*1000</f>
        <v/>
      </c>
      <c r="D14" s="22">
        <f>'测算主页'!B9*C14/'测算主页'!B17/10000</f>
        <v/>
      </c>
      <c r="E14" s="22">
        <f>'测算主页'!B8*C14*'测算主页'!B18/10000</f>
        <v/>
      </c>
      <c r="F14" s="21">
        <f>E14-D14</f>
        <v/>
      </c>
      <c r="G14" s="23">
        <f>'测算主页'!B27</f>
        <v/>
      </c>
      <c r="H14" s="15">
        <f>F14*G14</f>
        <v/>
      </c>
      <c r="I14" s="15">
        <f>I13+H14</f>
        <v/>
      </c>
    </row>
    <row r="15">
      <c r="A15" s="24" t="inlineStr">
        <is>
          <t>10年合计</t>
        </is>
      </c>
      <c r="H15" s="25">
        <f>SUM(H6:H15)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全周期现金流分析：IRR / NPV / 投资回收期</t>
        </is>
      </c>
    </row>
    <row r="2">
      <c r="A2" s="2" t="inlineStr">
        <is>
          <t>自由现金流 = 毛利 - 运维费 - 所得税  |  折现率引用自测算主页</t>
        </is>
      </c>
    </row>
    <row r="3"/>
    <row r="4" ht="36" customHeight="1">
      <c r="A4" s="20" t="inlineStr">
        <is>
          <t>年份</t>
        </is>
      </c>
      <c r="B4" s="20" t="inlineStr">
        <is>
          <t>年度毛利
(万元)</t>
        </is>
      </c>
      <c r="C4" s="20" t="inlineStr">
        <is>
          <t>运维费
(万元)</t>
        </is>
      </c>
      <c r="D4" s="20" t="inlineStr">
        <is>
          <t>税前利润
(万元)</t>
        </is>
      </c>
      <c r="E4" s="20" t="inlineStr">
        <is>
          <t>所得税
(万元)</t>
        </is>
      </c>
      <c r="F4" s="20" t="inlineStr">
        <is>
          <t>自由现金流
(万元)</t>
        </is>
      </c>
      <c r="G4" s="20" t="inlineStr">
        <is>
          <t>折现因子</t>
        </is>
      </c>
      <c r="H4" s="20" t="inlineStr">
        <is>
          <t>折现现金流
(万元)</t>
        </is>
      </c>
    </row>
    <row r="5">
      <c r="A5" s="26" t="inlineStr">
        <is>
          <t>第0年（投资）</t>
        </is>
      </c>
      <c r="B5" s="22" t="n">
        <v>0</v>
      </c>
      <c r="C5" s="22" t="n">
        <v>0</v>
      </c>
      <c r="D5" s="22" t="n">
        <v>0</v>
      </c>
      <c r="E5" s="22" t="n">
        <v>0</v>
      </c>
      <c r="F5" s="15">
        <f>-'测算主页'!B33</f>
        <v/>
      </c>
      <c r="G5" s="27" t="n">
        <v>1</v>
      </c>
      <c r="H5" s="15">
        <f>F5*G5</f>
        <v/>
      </c>
      <c r="I5" s="28">
        <f>H5</f>
        <v/>
      </c>
    </row>
    <row r="6">
      <c r="A6" s="14" t="inlineStr">
        <is>
          <t>第1年</t>
        </is>
      </c>
      <c r="B6" s="22">
        <f>'逐年收益表'!H5</f>
        <v/>
      </c>
      <c r="C6" s="22">
        <f>'测算主页'!B33*'测算主页'!B34</f>
        <v/>
      </c>
      <c r="D6" s="22">
        <f>B6-C6</f>
        <v/>
      </c>
      <c r="E6" s="22">
        <f>D6*'测算主页'!B36</f>
        <v/>
      </c>
      <c r="F6" s="15">
        <f>D6-E6</f>
        <v/>
      </c>
      <c r="G6" s="27">
        <f>1/(1+'测算主页'!B35)^1</f>
        <v/>
      </c>
      <c r="H6" s="15">
        <f>F6*G6</f>
        <v/>
      </c>
      <c r="I6" s="15">
        <f>I5+H6</f>
        <v/>
      </c>
    </row>
    <row r="7">
      <c r="A7" s="14" t="inlineStr">
        <is>
          <t>第2年</t>
        </is>
      </c>
      <c r="B7" s="22">
        <f>'逐年收益表'!H6</f>
        <v/>
      </c>
      <c r="C7" s="22">
        <f>'测算主页'!B33*'测算主页'!B34</f>
        <v/>
      </c>
      <c r="D7" s="22">
        <f>B7-C7</f>
        <v/>
      </c>
      <c r="E7" s="22">
        <f>D7*'测算主页'!B36</f>
        <v/>
      </c>
      <c r="F7" s="15">
        <f>D7-E7</f>
        <v/>
      </c>
      <c r="G7" s="27">
        <f>1/(1+'测算主页'!B35)^2</f>
        <v/>
      </c>
      <c r="H7" s="15">
        <f>F7*G7</f>
        <v/>
      </c>
      <c r="I7" s="15">
        <f>I6+H7</f>
        <v/>
      </c>
    </row>
    <row r="8">
      <c r="A8" s="14" t="inlineStr">
        <is>
          <t>第3年</t>
        </is>
      </c>
      <c r="B8" s="22">
        <f>'逐年收益表'!H7</f>
        <v/>
      </c>
      <c r="C8" s="22">
        <f>'测算主页'!B33*'测算主页'!B34</f>
        <v/>
      </c>
      <c r="D8" s="22">
        <f>B8-C8</f>
        <v/>
      </c>
      <c r="E8" s="22">
        <f>D8*'测算主页'!B36</f>
        <v/>
      </c>
      <c r="F8" s="15">
        <f>D8-E8</f>
        <v/>
      </c>
      <c r="G8" s="27">
        <f>1/(1+'测算主页'!B35)^3</f>
        <v/>
      </c>
      <c r="H8" s="15">
        <f>F8*G8</f>
        <v/>
      </c>
      <c r="I8" s="15">
        <f>I7+H8</f>
        <v/>
      </c>
    </row>
    <row r="9">
      <c r="A9" s="14" t="inlineStr">
        <is>
          <t>第4年</t>
        </is>
      </c>
      <c r="B9" s="22">
        <f>'逐年收益表'!H8</f>
        <v/>
      </c>
      <c r="C9" s="22">
        <f>'测算主页'!B33*'测算主页'!B34</f>
        <v/>
      </c>
      <c r="D9" s="22">
        <f>B9-C9</f>
        <v/>
      </c>
      <c r="E9" s="22">
        <f>D9*'测算主页'!B36</f>
        <v/>
      </c>
      <c r="F9" s="15">
        <f>D9-E9</f>
        <v/>
      </c>
      <c r="G9" s="27">
        <f>1/(1+'测算主页'!B35)^4</f>
        <v/>
      </c>
      <c r="H9" s="15">
        <f>F9*G9</f>
        <v/>
      </c>
      <c r="I9" s="15">
        <f>I8+H9</f>
        <v/>
      </c>
    </row>
    <row r="10">
      <c r="A10" s="14" t="inlineStr">
        <is>
          <t>第5年</t>
        </is>
      </c>
      <c r="B10" s="22">
        <f>'逐年收益表'!H9</f>
        <v/>
      </c>
      <c r="C10" s="22">
        <f>'测算主页'!B33*'测算主页'!B34</f>
        <v/>
      </c>
      <c r="D10" s="22">
        <f>B10-C10</f>
        <v/>
      </c>
      <c r="E10" s="22">
        <f>D10*'测算主页'!B36</f>
        <v/>
      </c>
      <c r="F10" s="15">
        <f>D10-E10</f>
        <v/>
      </c>
      <c r="G10" s="27">
        <f>1/(1+'测算主页'!B35)^5</f>
        <v/>
      </c>
      <c r="H10" s="15">
        <f>F10*G10</f>
        <v/>
      </c>
      <c r="I10" s="15">
        <f>I9+H10</f>
        <v/>
      </c>
    </row>
    <row r="11">
      <c r="A11" s="14" t="inlineStr">
        <is>
          <t>第6年</t>
        </is>
      </c>
      <c r="B11" s="22">
        <f>'逐年收益表'!H10</f>
        <v/>
      </c>
      <c r="C11" s="22">
        <f>'测算主页'!B33*'测算主页'!B34</f>
        <v/>
      </c>
      <c r="D11" s="22">
        <f>B11-C11</f>
        <v/>
      </c>
      <c r="E11" s="22">
        <f>D11*'测算主页'!B36</f>
        <v/>
      </c>
      <c r="F11" s="15">
        <f>D11-E11</f>
        <v/>
      </c>
      <c r="G11" s="27">
        <f>1/(1+'测算主页'!B35)^6</f>
        <v/>
      </c>
      <c r="H11" s="15">
        <f>F11*G11</f>
        <v/>
      </c>
      <c r="I11" s="15">
        <f>I10+H11</f>
        <v/>
      </c>
    </row>
    <row r="12">
      <c r="A12" s="14" t="inlineStr">
        <is>
          <t>第7年</t>
        </is>
      </c>
      <c r="B12" s="22">
        <f>'逐年收益表'!H11</f>
        <v/>
      </c>
      <c r="C12" s="22">
        <f>'测算主页'!B33*'测算主页'!B34</f>
        <v/>
      </c>
      <c r="D12" s="22">
        <f>B12-C12</f>
        <v/>
      </c>
      <c r="E12" s="22">
        <f>D12*'测算主页'!B36</f>
        <v/>
      </c>
      <c r="F12" s="15">
        <f>D12-E12</f>
        <v/>
      </c>
      <c r="G12" s="27">
        <f>1/(1+'测算主页'!B35)^7</f>
        <v/>
      </c>
      <c r="H12" s="15">
        <f>F12*G12</f>
        <v/>
      </c>
      <c r="I12" s="15">
        <f>I11+H12</f>
        <v/>
      </c>
    </row>
    <row r="13">
      <c r="A13" s="14" t="inlineStr">
        <is>
          <t>第8年</t>
        </is>
      </c>
      <c r="B13" s="22">
        <f>'逐年收益表'!H12</f>
        <v/>
      </c>
      <c r="C13" s="22">
        <f>'测算主页'!B33*'测算主页'!B34</f>
        <v/>
      </c>
      <c r="D13" s="22">
        <f>B13-C13</f>
        <v/>
      </c>
      <c r="E13" s="22">
        <f>D13*'测算主页'!B36</f>
        <v/>
      </c>
      <c r="F13" s="15">
        <f>D13-E13</f>
        <v/>
      </c>
      <c r="G13" s="27">
        <f>1/(1+'测算主页'!B35)^8</f>
        <v/>
      </c>
      <c r="H13" s="15">
        <f>F13*G13</f>
        <v/>
      </c>
      <c r="I13" s="15">
        <f>I12+H13</f>
        <v/>
      </c>
    </row>
    <row r="14">
      <c r="A14" s="14" t="inlineStr">
        <is>
          <t>第9年</t>
        </is>
      </c>
      <c r="B14" s="22">
        <f>'逐年收益表'!H13</f>
        <v/>
      </c>
      <c r="C14" s="22">
        <f>'测算主页'!B33*'测算主页'!B34</f>
        <v/>
      </c>
      <c r="D14" s="22">
        <f>B14-C14</f>
        <v/>
      </c>
      <c r="E14" s="22">
        <f>D14*'测算主页'!B36</f>
        <v/>
      </c>
      <c r="F14" s="15">
        <f>D14-E14</f>
        <v/>
      </c>
      <c r="G14" s="27">
        <f>1/(1+'测算主页'!B35)^9</f>
        <v/>
      </c>
      <c r="H14" s="15">
        <f>F14*G14</f>
        <v/>
      </c>
      <c r="I14" s="15">
        <f>I13+H14</f>
        <v/>
      </c>
    </row>
    <row r="15">
      <c r="A15" s="14" t="inlineStr">
        <is>
          <t>第10年</t>
        </is>
      </c>
      <c r="B15" s="22">
        <f>'逐年收益表'!H14</f>
        <v/>
      </c>
      <c r="C15" s="22">
        <f>'测算主页'!B33*'测算主页'!B34</f>
        <v/>
      </c>
      <c r="D15" s="22">
        <f>B15-C15</f>
        <v/>
      </c>
      <c r="E15" s="22">
        <f>D15*'测算主页'!B36</f>
        <v/>
      </c>
      <c r="F15" s="15">
        <f>D15-E15</f>
        <v/>
      </c>
      <c r="G15" s="27">
        <f>1/(1+'测算主页'!B35)^10</f>
        <v/>
      </c>
      <c r="H15" s="15">
        <f>F15*G15</f>
        <v/>
      </c>
      <c r="I15" s="15">
        <f>I14+H15</f>
        <v/>
      </c>
    </row>
    <row r="16">
      <c r="A16" s="24" t="inlineStr">
        <is>
          <t>合计</t>
        </is>
      </c>
      <c r="B16" s="25">
        <f>SUM(B6:B15)</f>
        <v/>
      </c>
      <c r="C16" s="25">
        <f>SUM(C6:C15)</f>
        <v/>
      </c>
      <c r="D16" s="25">
        <f>SUM(D6:D15)</f>
        <v/>
      </c>
      <c r="E16" s="25">
        <f>SUM(E6:E15)</f>
        <v/>
      </c>
      <c r="F16" s="25">
        <f>SUM(F6:F15)</f>
        <v/>
      </c>
      <c r="H16" s="25">
        <f>SUM(H6:H15)</f>
        <v/>
      </c>
    </row>
    <row r="17"/>
    <row r="18">
      <c r="A18" s="20" t="inlineStr">
        <is>
          <t>财务指标</t>
        </is>
      </c>
      <c r="B18" s="29" t="n"/>
      <c r="C18" s="20" t="inlineStr">
        <is>
          <t>计算公式</t>
        </is>
      </c>
      <c r="D18" s="30" t="n"/>
      <c r="E18" s="29" t="n"/>
      <c r="F18" s="20" t="inlineStr">
        <is>
          <t>数值</t>
        </is>
      </c>
      <c r="G18" s="30" t="n"/>
      <c r="H18" s="29" t="n"/>
    </row>
    <row r="19">
      <c r="A19" s="31" t="inlineStr">
        <is>
          <t>累计自由现金流（万元）</t>
        </is>
      </c>
      <c r="C19" s="12">
        <f>SUM(F6:F15)</f>
        <v/>
      </c>
      <c r="F19" s="21">
        <f>SUM(F6:F15)</f>
        <v/>
      </c>
    </row>
    <row r="20">
      <c r="A20" s="31" t="inlineStr">
        <is>
          <t>初始总投资（万元）</t>
        </is>
      </c>
      <c r="C20" s="12">
        <f>'测算主页'!B33</f>
        <v/>
      </c>
      <c r="F20" s="21">
        <f>'测算主页'!B33</f>
        <v/>
      </c>
    </row>
    <row r="21">
      <c r="A21" s="18" t="inlineStr">
        <is>
          <t>IRR·内部收益率</t>
        </is>
      </c>
      <c r="C21" s="12">
        <f>IRR(F5:F15,0.1)</f>
        <v/>
      </c>
      <c r="F21" s="16">
        <f>IRR(F5:F15,0.1)</f>
        <v/>
      </c>
    </row>
    <row r="22">
      <c r="A22" s="18" t="inlineStr">
        <is>
          <t>NPV·净现值（万元）</t>
        </is>
      </c>
      <c r="C22" s="12">
        <f>NPV('测算主页'!B35,F6:F15)+F5</f>
        <v/>
      </c>
      <c r="F22" s="15">
        <f>NPV('测算主页'!B35,F6:F15)+F5</f>
        <v/>
      </c>
    </row>
    <row r="23">
      <c r="A23" s="18" t="inlineStr">
        <is>
          <t>NPV不含投资（万元）</t>
        </is>
      </c>
      <c r="C23" s="12">
        <f>NPV('测算主页'!B35,F6:F15)</f>
        <v/>
      </c>
      <c r="F23" s="15">
        <f>NPV('测算主页'!B35,F6:F15)</f>
        <v/>
      </c>
    </row>
    <row r="24">
      <c r="A24" s="18" t="inlineStr">
        <is>
          <t>静态回收期（年）</t>
        </is>
      </c>
      <c r="C24" s="12">
        <f>'测算主页'!B33/AVERAGE(F6:F15)</f>
        <v/>
      </c>
      <c r="F24" s="19">
        <f>'测算主页'!B33/AVERAGE(F6:F15)</f>
        <v/>
      </c>
    </row>
    <row r="25">
      <c r="A25" s="18" t="inlineStr">
        <is>
          <t>动态回收期（年）</t>
        </is>
      </c>
      <c r="C25" s="12">
        <f>B23/(B25/B33)</f>
        <v/>
      </c>
      <c r="F25" s="19">
        <f>B23/(B25/B33)</f>
        <v/>
      </c>
    </row>
    <row r="26"/>
    <row r="27"/>
    <row r="28">
      <c r="A28" s="2" t="inlineStr">
        <is>
          <t>累计DCF</t>
        </is>
      </c>
    </row>
  </sheetData>
  <mergeCells count="26">
    <mergeCell ref="F20:H20"/>
    <mergeCell ref="A24:B24"/>
    <mergeCell ref="C20:E20"/>
    <mergeCell ref="F18:H18"/>
    <mergeCell ref="C22:E22"/>
    <mergeCell ref="A1:H1"/>
    <mergeCell ref="C21:E21"/>
    <mergeCell ref="F23:H23"/>
    <mergeCell ref="F22:H22"/>
    <mergeCell ref="A25:B25"/>
    <mergeCell ref="C23:E23"/>
    <mergeCell ref="A18:B18"/>
    <mergeCell ref="A21:B21"/>
    <mergeCell ref="C19:E19"/>
    <mergeCell ref="A2:H2"/>
    <mergeCell ref="C18:E18"/>
    <mergeCell ref="A23:B23"/>
    <mergeCell ref="A22:B22"/>
    <mergeCell ref="C24:E24"/>
    <mergeCell ref="F25:H25"/>
    <mergeCell ref="A20:B20"/>
    <mergeCell ref="F19:H19"/>
    <mergeCell ref="A19:B19"/>
    <mergeCell ref="F21:H21"/>
    <mergeCell ref="C25:E25"/>
    <mergeCell ref="F24:H2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28" customHeight="1">
      <c r="A1" s="1" t="inlineStr">
        <is>
          <t>多维度敏感性分析：龙卷风图 + 价差×效率矩阵 + 蜘蛛图</t>
        </is>
      </c>
    </row>
    <row r="2"/>
    <row r="3" ht="24" customHeight="1">
      <c r="A3" s="3" t="inlineStr">
        <is>
          <t>▎龙卷风图：各变量对NPV的影响幅度（基于当前基准参数预计算）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8" t="inlineStr">
        <is>
          <t>说明：以下为Python端基于当前测算主页参数预计算的结果。修改基准参数后需重新运行脚本更新。</t>
        </is>
      </c>
    </row>
    <row r="5"/>
    <row r="6" ht="36" customHeight="1">
      <c r="A6" s="20" t="inlineStr">
        <is>
          <t>变量</t>
        </is>
      </c>
      <c r="B6" s="20" t="inlineStr">
        <is>
          <t>低值</t>
        </is>
      </c>
      <c r="C6" s="20" t="inlineStr">
        <is>
          <t>高值</t>
        </is>
      </c>
      <c r="D6" s="20" t="inlineStr">
        <is>
          <t>NPV@低值
(万元)</t>
        </is>
      </c>
      <c r="E6" s="20" t="inlineStr">
        <is>
          <t>NPV@高值
(万元)</t>
        </is>
      </c>
      <c r="F6" s="20" t="inlineStr">
        <is>
          <t>NPV变化
(万元)</t>
        </is>
      </c>
      <c r="G6" s="20" t="inlineStr">
        <is>
          <t>NPV变化%</t>
        </is>
      </c>
      <c r="H6" s="20" t="inlineStr">
        <is>
          <t>IRR@低值</t>
        </is>
      </c>
      <c r="I6" s="20" t="inlineStr">
        <is>
          <t>IRR@高值</t>
        </is>
      </c>
      <c r="J6" s="20" t="inlineStr">
        <is>
          <t>IRR变化</t>
        </is>
      </c>
    </row>
    <row r="7">
      <c r="A7" s="32" t="inlineStr">
        <is>
          <t>峰谷价差</t>
        </is>
      </c>
      <c r="B7" s="22" t="n">
        <v>0.72</v>
      </c>
      <c r="C7" s="22" t="n">
        <v>1.08</v>
      </c>
      <c r="D7" s="22" t="n">
        <v>-7054.342546843503</v>
      </c>
      <c r="E7" s="22" t="n">
        <v>-49.39609183503285</v>
      </c>
      <c r="F7" s="15" t="n">
        <v>7004.946455008469</v>
      </c>
      <c r="G7" s="16" t="n">
        <v>-1.97218586192567</v>
      </c>
      <c r="H7" s="33" t="n">
        <v>-0.02093801130859421</v>
      </c>
      <c r="I7" s="33" t="n">
        <v>0.07936759465398667</v>
      </c>
      <c r="J7" s="16" t="n">
        <v>0.1003056059625809</v>
      </c>
    </row>
    <row r="8">
      <c r="A8" s="32" t="inlineStr">
        <is>
          <t>单位投资成本</t>
        </is>
      </c>
      <c r="B8" s="22" t="n">
        <v>1.53</v>
      </c>
      <c r="C8" s="22" t="n">
        <v>2.07</v>
      </c>
      <c r="D8" s="22" t="n">
        <v>-489.5249237964331</v>
      </c>
      <c r="E8" s="22" t="n">
        <v>-6614.213714882104</v>
      </c>
      <c r="F8" s="15" t="n">
        <v>-6124.688791085671</v>
      </c>
      <c r="G8" s="16" t="n">
        <v>1.724356455835205</v>
      </c>
      <c r="H8" s="33" t="n">
        <v>0.07257829523795198</v>
      </c>
      <c r="I8" s="33" t="n">
        <v>-0.0002168494919872625</v>
      </c>
      <c r="J8" s="16" t="n">
        <v>-0.07279514472993924</v>
      </c>
    </row>
    <row r="9">
      <c r="A9" s="32" t="inlineStr">
        <is>
          <t>折现率</t>
        </is>
      </c>
      <c r="B9" s="33" t="n">
        <v>0.05</v>
      </c>
      <c r="C9" s="33" t="n">
        <v>0.11</v>
      </c>
      <c r="D9" s="22" t="n">
        <v>-1462.055192350401</v>
      </c>
      <c r="E9" s="22" t="n">
        <v>-5254.946821930474</v>
      </c>
      <c r="F9" s="15" t="n">
        <v>-3792.891629580074</v>
      </c>
      <c r="G9" s="16" t="n">
        <v>1.067857876675946</v>
      </c>
      <c r="H9" s="33" t="n">
        <v>0.03227703223619623</v>
      </c>
      <c r="I9" s="33" t="n">
        <v>0.03227703223619623</v>
      </c>
      <c r="J9" s="16" t="n">
        <v>0</v>
      </c>
    </row>
    <row r="10">
      <c r="A10" s="32" t="inlineStr">
        <is>
          <t>年运营天数</t>
        </is>
      </c>
      <c r="B10" s="34" t="n">
        <v>297</v>
      </c>
      <c r="C10" s="34" t="n">
        <v>363.0000000000001</v>
      </c>
      <c r="D10" s="22" t="n">
        <v>-5238.245317767233</v>
      </c>
      <c r="E10" s="22" t="n">
        <v>-1865.493320911302</v>
      </c>
      <c r="F10" s="15" t="n">
        <v>3372.751996855931</v>
      </c>
      <c r="G10" s="16" t="n">
        <v>-0.9495709705568046</v>
      </c>
      <c r="H10" s="33" t="n">
        <v>0.007618653372287593</v>
      </c>
      <c r="I10" s="33" t="n">
        <v>0.05554662978052423</v>
      </c>
      <c r="J10" s="16" t="n">
        <v>0.04792797640823664</v>
      </c>
    </row>
    <row r="11">
      <c r="A11" s="32" t="inlineStr">
        <is>
          <t>充放电效率</t>
        </is>
      </c>
      <c r="B11" s="33" t="n">
        <v>0.84</v>
      </c>
      <c r="C11" s="33" t="n">
        <v>0.96</v>
      </c>
      <c r="D11" s="22" t="n">
        <v>-4571.270118914412</v>
      </c>
      <c r="E11" s="22" t="n">
        <v>-2580.139412379131</v>
      </c>
      <c r="F11" s="15" t="n">
        <v>1991.130706535281</v>
      </c>
      <c r="G11" s="16" t="n">
        <v>-0.5605867016823907</v>
      </c>
      <c r="H11" s="33" t="n">
        <v>0.01755891734275361</v>
      </c>
      <c r="I11" s="33" t="n">
        <v>0.0458354142501488</v>
      </c>
      <c r="J11" s="16" t="n">
        <v>0.02827649690739518</v>
      </c>
    </row>
    <row r="12">
      <c r="A12" s="32" t="inlineStr">
        <is>
          <t>年衰减率</t>
        </is>
      </c>
      <c r="B12" s="33" t="n">
        <v>0.01</v>
      </c>
      <c r="C12" s="33" t="n">
        <v>0.03</v>
      </c>
      <c r="D12" s="22" t="n">
        <v>-2897.2974845046</v>
      </c>
      <c r="E12" s="22" t="n">
        <v>-4174.950481762169</v>
      </c>
      <c r="F12" s="15" t="n">
        <v>-1277.652997257569</v>
      </c>
      <c r="G12" s="16" t="n">
        <v>0.3597128391804801</v>
      </c>
      <c r="H12" s="33" t="n">
        <v>0.04216331436903217</v>
      </c>
      <c r="I12" s="33" t="n">
        <v>0.0222842191439943</v>
      </c>
      <c r="J12" s="16" t="n">
        <v>-0.01987909522503787</v>
      </c>
    </row>
    <row r="13">
      <c r="A13" s="8" t="inlineStr">
        <is>
          <t>基准NPV = -3552万元  |  基准IRR = 3.2%</t>
        </is>
      </c>
    </row>
    <row r="14"/>
    <row r="15">
      <c r="A15" s="3" t="inlineStr">
        <is>
          <t>变量</t>
        </is>
      </c>
      <c r="B15" s="3" t="inlineStr">
        <is>
          <t>NPV降低</t>
        </is>
      </c>
      <c r="C15" s="3" t="inlineStr">
        <is>
          <t>NPV增加</t>
        </is>
      </c>
    </row>
    <row r="16">
      <c r="A16" s="35" t="inlineStr">
        <is>
          <t>峰谷价差</t>
        </is>
      </c>
      <c r="B16" s="22" t="n">
        <v>-3502.473227504229</v>
      </c>
      <c r="C16" s="22" t="n">
        <v>3502.473227504241</v>
      </c>
    </row>
    <row r="17">
      <c r="A17" s="35" t="inlineStr">
        <is>
          <t>单位投资成本</t>
        </is>
      </c>
      <c r="B17" s="22" t="n">
        <v>3062.34439554284</v>
      </c>
      <c r="C17" s="22" t="n">
        <v>-3062.344395542831</v>
      </c>
    </row>
    <row r="18">
      <c r="A18" s="35" t="inlineStr">
        <is>
          <t>折现率</t>
        </is>
      </c>
      <c r="B18" s="22" t="n">
        <v>2089.814126988873</v>
      </c>
      <c r="C18" s="22" t="n">
        <v>-1703.077502591201</v>
      </c>
    </row>
    <row r="19">
      <c r="A19" s="35" t="inlineStr">
        <is>
          <t>年运营天数</t>
        </is>
      </c>
      <c r="B19" s="22" t="n">
        <v>-1686.37599842796</v>
      </c>
      <c r="C19" s="22" t="n">
        <v>1686.375998427971</v>
      </c>
    </row>
    <row r="20">
      <c r="A20" s="35" t="inlineStr">
        <is>
          <t>充放电效率</t>
        </is>
      </c>
      <c r="B20" s="22" t="n">
        <v>-1019.400799575139</v>
      </c>
      <c r="C20" s="22" t="n">
        <v>971.7299069601427</v>
      </c>
    </row>
    <row r="21">
      <c r="A21" s="35" t="inlineStr">
        <is>
          <t>年衰减率</t>
        </is>
      </c>
      <c r="B21" s="22" t="n">
        <v>654.5718348346736</v>
      </c>
      <c r="C21" s="22" t="n">
        <v>-623.0811624228959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 ht="24" customHeight="1">
      <c r="A42" s="3" t="inlineStr">
        <is>
          <t>▎价差×效率二维敏感性矩阵：第1年毛利（万元）— 公式动态计算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/>
    <row r="44">
      <c r="A44" s="24" t="inlineStr">
        <is>
          <t>价差变化 ↓ \ 效率 →</t>
        </is>
      </c>
      <c r="B44" s="36" t="n">
        <v>0.84</v>
      </c>
      <c r="C44" s="36" t="n">
        <v>0.86</v>
      </c>
      <c r="D44" s="36" t="n">
        <v>0.88</v>
      </c>
      <c r="E44" s="36" t="n">
        <v>0.9</v>
      </c>
      <c r="F44" s="36" t="n">
        <v>0.92</v>
      </c>
      <c r="G44" s="36" t="n">
        <v>0.9399999999999999</v>
      </c>
      <c r="H44" s="36" t="n">
        <v>0.96</v>
      </c>
    </row>
    <row r="45">
      <c r="A45" s="12" t="inlineStr">
        <is>
          <t>← 价差越小→毛利越低</t>
        </is>
      </c>
      <c r="B45" s="22">
        <f>(('测算主页'!B9+'测算主页'!B11*(1+A45))*'测算主页'!B15*1000*'测算主页'!B19*SQRT(0.84)-'测算主页'!B9*'测算主页'!B15*1000*'测算主页'!B19/SQRT(0.84))*'测算主页'!B27/10000</f>
        <v/>
      </c>
      <c r="C45" s="22">
        <f>(('测算主页'!B9+'测算主页'!B11*(1+A45))*'测算主页'!B15*1000*'测算主页'!B19*SQRT(0.86)-'测算主页'!B9*'测算主页'!B15*1000*'测算主页'!B19/SQRT(0.86))*'测算主页'!B27/10000</f>
        <v/>
      </c>
      <c r="D45" s="22">
        <f>(('测算主页'!B9+'测算主页'!B11*(1+A45))*'测算主页'!B15*1000*'测算主页'!B19*SQRT(0.88)-'测算主页'!B9*'测算主页'!B15*1000*'测算主页'!B19/SQRT(0.88))*'测算主页'!B27/10000</f>
        <v/>
      </c>
      <c r="E45" s="22">
        <f>(('测算主页'!B9+'测算主页'!B11*(1+A45))*'测算主页'!B15*1000*'测算主页'!B19*SQRT(0.9)-'测算主页'!B9*'测算主页'!B15*1000*'测算主页'!B19/SQRT(0.9))*'测算主页'!B27/10000</f>
        <v/>
      </c>
      <c r="F45" s="22">
        <f>(('测算主页'!B9+'测算主页'!B11*(1+A45))*'测算主页'!B15*1000*'测算主页'!B19*SQRT(0.92)-'测算主页'!B9*'测算主页'!B15*1000*'测算主页'!B19/SQRT(0.92))*'测算主页'!B27/10000</f>
        <v/>
      </c>
      <c r="G45" s="22">
        <f>(('测算主页'!B9+'测算主页'!B11*(1+A45))*'测算主页'!B15*1000*'测算主页'!B19*SQRT(0.94)-'测算主页'!B9*'测算主页'!B15*1000*'测算主页'!B19/SQRT(0.94))*'测算主页'!B27/10000</f>
        <v/>
      </c>
      <c r="H45" s="22">
        <f>(('测算主页'!B9+'测算主页'!B11*(1+A45))*'测算主页'!B15*1000*'测算主页'!B19*SQRT(0.96)-'测算主页'!B9*'测算主页'!B15*1000*'测算主页'!B19/SQRT(0.96))*'测算主页'!B27/10000</f>
        <v/>
      </c>
    </row>
    <row r="46">
      <c r="A46" s="14" t="inlineStr">
        <is>
          <t>-15%</t>
        </is>
      </c>
      <c r="B46" s="22">
        <f>(('测算主页'!B9+'测算主页'!B11*(1+A46))*'测算主页'!B15*1000*'测算主页'!B19*SQRT(0.84)-'测算主页'!B9*'测算主页'!B15*1000*'测算主页'!B19/SQRT(0.84))*'测算主页'!B27/10000</f>
        <v/>
      </c>
      <c r="C46" s="22">
        <f>(('测算主页'!B9+'测算主页'!B11*(1+A46))*'测算主页'!B15*1000*'测算主页'!B19*SQRT(0.86)-'测算主页'!B9*'测算主页'!B15*1000*'测算主页'!B19/SQRT(0.86))*'测算主页'!B27/10000</f>
        <v/>
      </c>
      <c r="D46" s="22">
        <f>(('测算主页'!B9+'测算主页'!B11*(1+A46))*'测算主页'!B15*1000*'测算主页'!B19*SQRT(0.88)-'测算主页'!B9*'测算主页'!B15*1000*'测算主页'!B19/SQRT(0.88))*'测算主页'!B27/10000</f>
        <v/>
      </c>
      <c r="E46" s="22">
        <f>(('测算主页'!B9+'测算主页'!B11*(1+A46))*'测算主页'!B15*1000*'测算主页'!B19*SQRT(0.9)-'测算主页'!B9*'测算主页'!B15*1000*'测算主页'!B19/SQRT(0.9))*'测算主页'!B27/10000</f>
        <v/>
      </c>
      <c r="F46" s="22">
        <f>(('测算主页'!B9+'测算主页'!B11*(1+A46))*'测算主页'!B15*1000*'测算主页'!B19*SQRT(0.92)-'测算主页'!B9*'测算主页'!B15*1000*'测算主页'!B19/SQRT(0.92))*'测算主页'!B27/10000</f>
        <v/>
      </c>
      <c r="G46" s="22">
        <f>(('测算主页'!B9+'测算主页'!B11*(1+A46))*'测算主页'!B15*1000*'测算主页'!B19*SQRT(0.94)-'测算主页'!B9*'测算主页'!B15*1000*'测算主页'!B19/SQRT(0.94))*'测算主页'!B27/10000</f>
        <v/>
      </c>
      <c r="H46" s="22">
        <f>(('测算主页'!B9+'测算主页'!B11*(1+A46))*'测算主页'!B15*1000*'测算主页'!B19*SQRT(0.96)-'测算主页'!B9*'测算主页'!B15*1000*'测算主页'!B19/SQRT(0.96))*'测算主页'!B27/10000</f>
        <v/>
      </c>
    </row>
    <row r="47">
      <c r="A47" s="14" t="inlineStr">
        <is>
          <t>-10%</t>
        </is>
      </c>
      <c r="B47" s="22">
        <f>(('测算主页'!B9+'测算主页'!B11*(1+A47))*'测算主页'!B15*1000*'测算主页'!B19*SQRT(0.84)-'测算主页'!B9*'测算主页'!B15*1000*'测算主页'!B19/SQRT(0.84))*'测算主页'!B27/10000</f>
        <v/>
      </c>
      <c r="C47" s="22">
        <f>(('测算主页'!B9+'测算主页'!B11*(1+A47))*'测算主页'!B15*1000*'测算主页'!B19*SQRT(0.86)-'测算主页'!B9*'测算主页'!B15*1000*'测算主页'!B19/SQRT(0.86))*'测算主页'!B27/10000</f>
        <v/>
      </c>
      <c r="D47" s="22">
        <f>(('测算主页'!B9+'测算主页'!B11*(1+A47))*'测算主页'!B15*1000*'测算主页'!B19*SQRT(0.88)-'测算主页'!B9*'测算主页'!B15*1000*'测算主页'!B19/SQRT(0.88))*'测算主页'!B27/10000</f>
        <v/>
      </c>
      <c r="E47" s="22">
        <f>(('测算主页'!B9+'测算主页'!B11*(1+A47))*'测算主页'!B15*1000*'测算主页'!B19*SQRT(0.9)-'测算主页'!B9*'测算主页'!B15*1000*'测算主页'!B19/SQRT(0.9))*'测算主页'!B27/10000</f>
        <v/>
      </c>
      <c r="F47" s="22">
        <f>(('测算主页'!B9+'测算主页'!B11*(1+A47))*'测算主页'!B15*1000*'测算主页'!B19*SQRT(0.92)-'测算主页'!B9*'测算主页'!B15*1000*'测算主页'!B19/SQRT(0.92))*'测算主页'!B27/10000</f>
        <v/>
      </c>
      <c r="G47" s="22">
        <f>(('测算主页'!B9+'测算主页'!B11*(1+A47))*'测算主页'!B15*1000*'测算主页'!B19*SQRT(0.94)-'测算主页'!B9*'测算主页'!B15*1000*'测算主页'!B19/SQRT(0.94))*'测算主页'!B27/10000</f>
        <v/>
      </c>
      <c r="H47" s="22">
        <f>(('测算主页'!B9+'测算主页'!B11*(1+A47))*'测算主页'!B15*1000*'测算主页'!B19*SQRT(0.96)-'测算主页'!B9*'测算主页'!B15*1000*'测算主页'!B19/SQRT(0.96))*'测算主页'!B27/10000</f>
        <v/>
      </c>
    </row>
    <row r="48">
      <c r="A48" s="14" t="inlineStr">
        <is>
          <t>-5%</t>
        </is>
      </c>
      <c r="B48" s="22">
        <f>(('测算主页'!B9+'测算主页'!B11*(1+A48))*'测算主页'!B15*1000*'测算主页'!B19*SQRT(0.84)-'测算主页'!B9*'测算主页'!B15*1000*'测算主页'!B19/SQRT(0.84))*'测算主页'!B27/10000</f>
        <v/>
      </c>
      <c r="C48" s="22">
        <f>(('测算主页'!B9+'测算主页'!B11*(1+A48))*'测算主页'!B15*1000*'测算主页'!B19*SQRT(0.86)-'测算主页'!B9*'测算主页'!B15*1000*'测算主页'!B19/SQRT(0.86))*'测算主页'!B27/10000</f>
        <v/>
      </c>
      <c r="D48" s="22">
        <f>(('测算主页'!B9+'测算主页'!B11*(1+A48))*'测算主页'!B15*1000*'测算主页'!B19*SQRT(0.88)-'测算主页'!B9*'测算主页'!B15*1000*'测算主页'!B19/SQRT(0.88))*'测算主页'!B27/10000</f>
        <v/>
      </c>
      <c r="E48" s="22">
        <f>(('测算主页'!B9+'测算主页'!B11*(1+A48))*'测算主页'!B15*1000*'测算主页'!B19*SQRT(0.9)-'测算主页'!B9*'测算主页'!B15*1000*'测算主页'!B19/SQRT(0.9))*'测算主页'!B27/10000</f>
        <v/>
      </c>
      <c r="F48" s="22">
        <f>(('测算主页'!B9+'测算主页'!B11*(1+A48))*'测算主页'!B15*1000*'测算主页'!B19*SQRT(0.92)-'测算主页'!B9*'测算主页'!B15*1000*'测算主页'!B19/SQRT(0.92))*'测算主页'!B27/10000</f>
        <v/>
      </c>
      <c r="G48" s="22">
        <f>(('测算主页'!B9+'测算主页'!B11*(1+A48))*'测算主页'!B15*1000*'测算主页'!B19*SQRT(0.94)-'测算主页'!B9*'测算主页'!B15*1000*'测算主页'!B19/SQRT(0.94))*'测算主页'!B27/10000</f>
        <v/>
      </c>
      <c r="H48" s="22">
        <f>(('测算主页'!B9+'测算主页'!B11*(1+A48))*'测算主页'!B15*1000*'测算主页'!B19*SQRT(0.96)-'测算主页'!B9*'测算主页'!B15*1000*'测算主页'!B19/SQRT(0.96))*'测算主页'!B27/10000</f>
        <v/>
      </c>
    </row>
    <row r="49">
      <c r="A49" s="37" t="inlineStr">
        <is>
          <t>+0%</t>
        </is>
      </c>
      <c r="B49" s="22">
        <f>(('测算主页'!B9+'测算主页'!B11*(1+A49))*'测算主页'!B15*1000*'测算主页'!B19*SQRT(0.84)-'测算主页'!B9*'测算主页'!B15*1000*'测算主页'!B19/SQRT(0.84))*'测算主页'!B27/10000</f>
        <v/>
      </c>
      <c r="C49" s="22">
        <f>(('测算主页'!B9+'测算主页'!B11*(1+A49))*'测算主页'!B15*1000*'测算主页'!B19*SQRT(0.86)-'测算主页'!B9*'测算主页'!B15*1000*'测算主页'!B19/SQRT(0.86))*'测算主页'!B27/10000</f>
        <v/>
      </c>
      <c r="D49" s="22">
        <f>(('测算主页'!B9+'测算主页'!B11*(1+A49))*'测算主页'!B15*1000*'测算主页'!B19*SQRT(0.88)-'测算主页'!B9*'测算主页'!B15*1000*'测算主页'!B19/SQRT(0.88))*'测算主页'!B27/10000</f>
        <v/>
      </c>
      <c r="E49" s="38">
        <f>(('测算主页'!B9+'测算主页'!B11*(1+A49))*'测算主页'!B15*1000*'测算主页'!B19*SQRT(0.9)-'测算主页'!B9*'测算主页'!B15*1000*'测算主页'!B19/SQRT(0.9))*'测算主页'!B27/10000</f>
        <v/>
      </c>
      <c r="F49" s="22">
        <f>(('测算主页'!B9+'测算主页'!B11*(1+A49))*'测算主页'!B15*1000*'测算主页'!B19*SQRT(0.92)-'测算主页'!B9*'测算主页'!B15*1000*'测算主页'!B19/SQRT(0.92))*'测算主页'!B27/10000</f>
        <v/>
      </c>
      <c r="G49" s="22">
        <f>(('测算主页'!B9+'测算主页'!B11*(1+A49))*'测算主页'!B15*1000*'测算主页'!B19*SQRT(0.94)-'测算主页'!B9*'测算主页'!B15*1000*'测算主页'!B19/SQRT(0.94))*'测算主页'!B27/10000</f>
        <v/>
      </c>
      <c r="H49" s="22">
        <f>(('测算主页'!B9+'测算主页'!B11*(1+A49))*'测算主页'!B15*1000*'测算主页'!B19*SQRT(0.96)-'测算主页'!B9*'测算主页'!B15*1000*'测算主页'!B19/SQRT(0.96))*'测算主页'!B27/10000</f>
        <v/>
      </c>
      <c r="J49" s="39" t="inlineStr">
        <is>
          <t>基准组合</t>
        </is>
      </c>
    </row>
    <row r="50">
      <c r="A50" s="14" t="inlineStr">
        <is>
          <t>+5%</t>
        </is>
      </c>
      <c r="B50" s="22">
        <f>(('测算主页'!B9+'测算主页'!B11*(1+A50))*'测算主页'!B15*1000*'测算主页'!B19*SQRT(0.84)-'测算主页'!B9*'测算主页'!B15*1000*'测算主页'!B19/SQRT(0.84))*'测算主页'!B27/10000</f>
        <v/>
      </c>
      <c r="C50" s="22">
        <f>(('测算主页'!B9+'测算主页'!B11*(1+A50))*'测算主页'!B15*1000*'测算主页'!B19*SQRT(0.86)-'测算主页'!B9*'测算主页'!B15*1000*'测算主页'!B19/SQRT(0.86))*'测算主页'!B27/10000</f>
        <v/>
      </c>
      <c r="D50" s="22">
        <f>(('测算主页'!B9+'测算主页'!B11*(1+A50))*'测算主页'!B15*1000*'测算主页'!B19*SQRT(0.88)-'测算主页'!B9*'测算主页'!B15*1000*'测算主页'!B19/SQRT(0.88))*'测算主页'!B27/10000</f>
        <v/>
      </c>
      <c r="E50" s="22">
        <f>(('测算主页'!B9+'测算主页'!B11*(1+A50))*'测算主页'!B15*1000*'测算主页'!B19*SQRT(0.9)-'测算主页'!B9*'测算主页'!B15*1000*'测算主页'!B19/SQRT(0.9))*'测算主页'!B27/10000</f>
        <v/>
      </c>
      <c r="F50" s="22">
        <f>(('测算主页'!B9+'测算主页'!B11*(1+A50))*'测算主页'!B15*1000*'测算主页'!B19*SQRT(0.92)-'测算主页'!B9*'测算主页'!B15*1000*'测算主页'!B19/SQRT(0.92))*'测算主页'!B27/10000</f>
        <v/>
      </c>
      <c r="G50" s="22">
        <f>(('测算主页'!B9+'测算主页'!B11*(1+A50))*'测算主页'!B15*1000*'测算主页'!B19*SQRT(0.94)-'测算主页'!B9*'测算主页'!B15*1000*'测算主页'!B19/SQRT(0.94))*'测算主页'!B27/10000</f>
        <v/>
      </c>
      <c r="H50" s="22">
        <f>(('测算主页'!B9+'测算主页'!B11*(1+A50))*'测算主页'!B15*1000*'测算主页'!B19*SQRT(0.96)-'测算主页'!B9*'测算主页'!B15*1000*'测算主页'!B19/SQRT(0.96))*'测算主页'!B27/10000</f>
        <v/>
      </c>
    </row>
    <row r="51">
      <c r="A51" s="14" t="inlineStr">
        <is>
          <t>+10%</t>
        </is>
      </c>
      <c r="B51" s="22">
        <f>(('测算主页'!B9+'测算主页'!B11*(1+A51))*'测算主页'!B15*1000*'测算主页'!B19*SQRT(0.84)-'测算主页'!B9*'测算主页'!B15*1000*'测算主页'!B19/SQRT(0.84))*'测算主页'!B27/10000</f>
        <v/>
      </c>
      <c r="C51" s="22">
        <f>(('测算主页'!B9+'测算主页'!B11*(1+A51))*'测算主页'!B15*1000*'测算主页'!B19*SQRT(0.86)-'测算主页'!B9*'测算主页'!B15*1000*'测算主页'!B19/SQRT(0.86))*'测算主页'!B27/10000</f>
        <v/>
      </c>
      <c r="D51" s="22">
        <f>(('测算主页'!B9+'测算主页'!B11*(1+A51))*'测算主页'!B15*1000*'测算主页'!B19*SQRT(0.88)-'测算主页'!B9*'测算主页'!B15*1000*'测算主页'!B19/SQRT(0.88))*'测算主页'!B27/10000</f>
        <v/>
      </c>
      <c r="E51" s="22">
        <f>(('测算主页'!B9+'测算主页'!B11*(1+A51))*'测算主页'!B15*1000*'测算主页'!B19*SQRT(0.9)-'测算主页'!B9*'测算主页'!B15*1000*'测算主页'!B19/SQRT(0.9))*'测算主页'!B27/10000</f>
        <v/>
      </c>
      <c r="F51" s="22">
        <f>(('测算主页'!B9+'测算主页'!B11*(1+A51))*'测算主页'!B15*1000*'测算主页'!B19*SQRT(0.92)-'测算主页'!B9*'测算主页'!B15*1000*'测算主页'!B19/SQRT(0.92))*'测算主页'!B27/10000</f>
        <v/>
      </c>
      <c r="G51" s="22">
        <f>(('测算主页'!B9+'测算主页'!B11*(1+A51))*'测算主页'!B15*1000*'测算主页'!B19*SQRT(0.94)-'测算主页'!B9*'测算主页'!B15*1000*'测算主页'!B19/SQRT(0.94))*'测算主页'!B27/10000</f>
        <v/>
      </c>
      <c r="H51" s="22">
        <f>(('测算主页'!B9+'测算主页'!B11*(1+A51))*'测算主页'!B15*1000*'测算主页'!B19*SQRT(0.96)-'测算主页'!B9*'测算主页'!B15*1000*'测算主页'!B19/SQRT(0.96))*'测算主页'!B27/10000</f>
        <v/>
      </c>
    </row>
    <row r="52">
      <c r="A52" s="14" t="inlineStr">
        <is>
          <t>+15%</t>
        </is>
      </c>
      <c r="B52" s="22">
        <f>(('测算主页'!B9+'测算主页'!B11*(1+A52))*'测算主页'!B15*1000*'测算主页'!B19*SQRT(0.84)-'测算主页'!B9*'测算主页'!B15*1000*'测算主页'!B19/SQRT(0.84))*'测算主页'!B27/10000</f>
        <v/>
      </c>
      <c r="C52" s="22">
        <f>(('测算主页'!B9+'测算主页'!B11*(1+A52))*'测算主页'!B15*1000*'测算主页'!B19*SQRT(0.86)-'测算主页'!B9*'测算主页'!B15*1000*'测算主页'!B19/SQRT(0.86))*'测算主页'!B27/10000</f>
        <v/>
      </c>
      <c r="D52" s="22">
        <f>(('测算主页'!B9+'测算主页'!B11*(1+A52))*'测算主页'!B15*1000*'测算主页'!B19*SQRT(0.88)-'测算主页'!B9*'测算主页'!B15*1000*'测算主页'!B19/SQRT(0.88))*'测算主页'!B27/10000</f>
        <v/>
      </c>
      <c r="E52" s="22">
        <f>(('测算主页'!B9+'测算主页'!B11*(1+A52))*'测算主页'!B15*1000*'测算主页'!B19*SQRT(0.9)-'测算主页'!B9*'测算主页'!B15*1000*'测算主页'!B19/SQRT(0.9))*'测算主页'!B27/10000</f>
        <v/>
      </c>
      <c r="F52" s="22">
        <f>(('测算主页'!B9+'测算主页'!B11*(1+A52))*'测算主页'!B15*1000*'测算主页'!B19*SQRT(0.92)-'测算主页'!B9*'测算主页'!B15*1000*'测算主页'!B19/SQRT(0.92))*'测算主页'!B27/10000</f>
        <v/>
      </c>
      <c r="G52" s="22">
        <f>(('测算主页'!B9+'测算主页'!B11*(1+A52))*'测算主页'!B15*1000*'测算主页'!B19*SQRT(0.94)-'测算主页'!B9*'测算主页'!B15*1000*'测算主页'!B19/SQRT(0.94))*'测算主页'!B27/10000</f>
        <v/>
      </c>
      <c r="H52" s="22">
        <f>(('测算主页'!B9+'测算主页'!B11*(1+A52))*'测算主页'!B15*1000*'测算主页'!B19*SQRT(0.96)-'测算主页'!B9*'测算主页'!B15*1000*'测算主页'!B19/SQRT(0.96))*'测算主页'!B27/10000</f>
        <v/>
      </c>
    </row>
    <row r="53">
      <c r="A53" s="14" t="inlineStr">
        <is>
          <t>+20%</t>
        </is>
      </c>
      <c r="B53" s="22">
        <f>(('测算主页'!B9+'测算主页'!B11*(1+A53))*'测算主页'!B15*1000*'测算主页'!B19*SQRT(0.84)-'测算主页'!B9*'测算主页'!B15*1000*'测算主页'!B19/SQRT(0.84))*'测算主页'!B27/10000</f>
        <v/>
      </c>
      <c r="C53" s="22">
        <f>(('测算主页'!B9+'测算主页'!B11*(1+A53))*'测算主页'!B15*1000*'测算主页'!B19*SQRT(0.86)-'测算主页'!B9*'测算主页'!B15*1000*'测算主页'!B19/SQRT(0.86))*'测算主页'!B27/10000</f>
        <v/>
      </c>
      <c r="D53" s="22">
        <f>(('测算主页'!B9+'测算主页'!B11*(1+A53))*'测算主页'!B15*1000*'测算主页'!B19*SQRT(0.88)-'测算主页'!B9*'测算主页'!B15*1000*'测算主页'!B19/SQRT(0.88))*'测算主页'!B27/10000</f>
        <v/>
      </c>
      <c r="E53" s="22">
        <f>(('测算主页'!B9+'测算主页'!B11*(1+A53))*'测算主页'!B15*1000*'测算主页'!B19*SQRT(0.9)-'测算主页'!B9*'测算主页'!B15*1000*'测算主页'!B19/SQRT(0.9))*'测算主页'!B27/10000</f>
        <v/>
      </c>
      <c r="F53" s="22">
        <f>(('测算主页'!B9+'测算主页'!B11*(1+A53))*'测算主页'!B15*1000*'测算主页'!B19*SQRT(0.92)-'测算主页'!B9*'测算主页'!B15*1000*'测算主页'!B19/SQRT(0.92))*'测算主页'!B27/10000</f>
        <v/>
      </c>
      <c r="G53" s="22">
        <f>(('测算主页'!B9+'测算主页'!B11*(1+A53))*'测算主页'!B15*1000*'测算主页'!B19*SQRT(0.94)-'测算主页'!B9*'测算主页'!B15*1000*'测算主页'!B19/SQRT(0.94))*'测算主页'!B27/10000</f>
        <v/>
      </c>
      <c r="H53" s="22">
        <f>(('测算主页'!B9+'测算主页'!B11*(1+A53))*'测算主页'!B15*1000*'测算主页'!B19*SQRT(0.96)-'测算主页'!B9*'测算主页'!B15*1000*'测算主页'!B19/SQRT(0.96))*'测算主页'!B27/10000</f>
        <v/>
      </c>
    </row>
    <row r="54">
      <c r="A54" s="8" t="inlineStr">
        <is>
          <t>← 价差越大→毛利越高</t>
        </is>
      </c>
    </row>
  </sheetData>
  <mergeCells count="5">
    <mergeCell ref="A1:J1"/>
    <mergeCell ref="A3:J3"/>
    <mergeCell ref="A4:J4"/>
    <mergeCell ref="A42:J42"/>
    <mergeCell ref="A13:J1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三情景对比分析：乐观 / 基准 / 悲观</t>
        </is>
      </c>
    </row>
    <row r="2">
      <c r="A2" s="2" t="inlineStr">
        <is>
          <t>多变量同时变化，评估不同市场环境下的项目收益弹性</t>
        </is>
      </c>
    </row>
    <row r="3"/>
    <row r="4" ht="30" customHeight="1">
      <c r="A4" s="20" t="inlineStr">
        <is>
          <t>参数</t>
        </is>
      </c>
      <c r="B4" s="20" t="inlineStr">
        <is>
          <t>乐观情景</t>
        </is>
      </c>
      <c r="C4" s="20" t="inlineStr">
        <is>
          <t>基准情景</t>
        </is>
      </c>
      <c r="D4" s="20" t="inlineStr">
        <is>
          <t>悲观情景</t>
        </is>
      </c>
      <c r="E4" s="20" t="inlineStr">
        <is>
          <t>乐观vs基准</t>
        </is>
      </c>
      <c r="F4" s="20" t="inlineStr">
        <is>
          <t>悲观vs基准</t>
        </is>
      </c>
    </row>
    <row r="5">
      <c r="A5" s="31" t="inlineStr">
        <is>
          <t>峰段电价（元/kWh）</t>
        </is>
      </c>
      <c r="B5" s="40" t="n">
        <v>1.32</v>
      </c>
      <c r="C5" s="41" t="n">
        <v>1.2</v>
      </c>
      <c r="D5" s="42" t="n">
        <v>1.08</v>
      </c>
      <c r="E5" s="33" t="n">
        <v>0.1000000000000001</v>
      </c>
      <c r="F5" s="33" t="n">
        <v>-0.09999999999999991</v>
      </c>
    </row>
    <row r="6">
      <c r="A6" s="31" t="inlineStr">
        <is>
          <t>谷段电价（元/kWh）</t>
        </is>
      </c>
      <c r="B6" s="40" t="n">
        <v>0.27</v>
      </c>
      <c r="C6" s="41" t="n">
        <v>0.3</v>
      </c>
      <c r="D6" s="42" t="n">
        <v>0.33</v>
      </c>
      <c r="E6" s="33" t="n">
        <v>-0.09999999999999991</v>
      </c>
      <c r="F6" s="33" t="n">
        <v>0.1000000000000001</v>
      </c>
    </row>
    <row r="7">
      <c r="A7" s="31" t="inlineStr">
        <is>
          <t>峰谷价差（元/kWh）</t>
        </is>
      </c>
      <c r="B7" s="40" t="n">
        <v>1.05</v>
      </c>
      <c r="C7" s="41" t="n">
        <v>0.8999999999999999</v>
      </c>
      <c r="D7" s="42" t="n">
        <v>0.75</v>
      </c>
      <c r="E7" s="33" t="n">
        <v>0.1666666666666668</v>
      </c>
      <c r="F7" s="33" t="n">
        <v>-0.1666666666666666</v>
      </c>
    </row>
    <row r="8">
      <c r="A8" s="31" t="inlineStr">
        <is>
          <t>充放电效率</t>
        </is>
      </c>
      <c r="B8" s="43" t="n">
        <v>0.93</v>
      </c>
      <c r="C8" s="44" t="n">
        <v>0.9</v>
      </c>
      <c r="D8" s="45" t="n">
        <v>0.86</v>
      </c>
      <c r="E8" s="33" t="n">
        <v>0.03333333333333336</v>
      </c>
      <c r="F8" s="33" t="n">
        <v>-0.04444444444444448</v>
      </c>
    </row>
    <row r="9">
      <c r="A9" s="31" t="inlineStr">
        <is>
          <t>单位投资（元/Wh）</t>
        </is>
      </c>
      <c r="B9" s="40" t="n">
        <v>1.5</v>
      </c>
      <c r="C9" s="41" t="n">
        <v>1.8</v>
      </c>
      <c r="D9" s="42" t="n">
        <v>2.1</v>
      </c>
      <c r="E9" s="33" t="n">
        <v>-0.1666666666666667</v>
      </c>
      <c r="F9" s="33" t="n">
        <v>0.1666666666666667</v>
      </c>
    </row>
    <row r="10">
      <c r="A10" s="31" t="inlineStr">
        <is>
          <t>年衰减率</t>
        </is>
      </c>
      <c r="B10" s="43" t="n">
        <v>0.015</v>
      </c>
      <c r="C10" s="44" t="n">
        <v>0.02</v>
      </c>
      <c r="D10" s="45" t="n">
        <v>0.025</v>
      </c>
      <c r="E10" s="33" t="n">
        <v>-0.2500000000000001</v>
      </c>
      <c r="F10" s="33" t="n">
        <v>0.2500000000000001</v>
      </c>
    </row>
    <row r="11">
      <c r="A11" s="31" t="inlineStr">
        <is>
          <t>年运营天数</t>
        </is>
      </c>
      <c r="B11" s="46" t="n">
        <v>350</v>
      </c>
      <c r="C11" s="47" t="n">
        <v>330</v>
      </c>
      <c r="D11" s="48" t="n">
        <v>300</v>
      </c>
      <c r="E11" s="33" t="n">
        <v>0.06060606060606061</v>
      </c>
      <c r="F11" s="33" t="n">
        <v>-0.09090909090909091</v>
      </c>
    </row>
    <row r="12">
      <c r="A12" s="31" t="inlineStr">
        <is>
          <t>折现率</t>
        </is>
      </c>
      <c r="B12" s="43" t="n">
        <v>0.06</v>
      </c>
      <c r="C12" s="44" t="n">
        <v>0.08</v>
      </c>
      <c r="D12" s="45" t="n">
        <v>0.1</v>
      </c>
      <c r="E12" s="33" t="n">
        <v>-0.2500000000000001</v>
      </c>
      <c r="F12" s="33" t="n">
        <v>0.2500000000000001</v>
      </c>
    </row>
    <row r="13"/>
    <row r="14">
      <c r="A14" s="20" t="inlineStr">
        <is>
          <t>财务指标对比</t>
        </is>
      </c>
    </row>
    <row r="15">
      <c r="A15" s="24" t="inlineStr">
        <is>
          <t>指标</t>
        </is>
      </c>
      <c r="B15" s="24" t="inlineStr">
        <is>
          <t>乐观情景</t>
        </is>
      </c>
      <c r="C15" s="24" t="inlineStr">
        <is>
          <t>基准情景</t>
        </is>
      </c>
      <c r="D15" s="24" t="inlineStr">
        <is>
          <t>悲观情景</t>
        </is>
      </c>
      <c r="E15" s="24" t="inlineStr">
        <is>
          <t>乐观vs基准</t>
        </is>
      </c>
      <c r="F15" s="24" t="inlineStr">
        <is>
          <t>悲观vs基准</t>
        </is>
      </c>
    </row>
    <row r="16">
      <c r="A16" s="31" t="inlineStr">
        <is>
          <t>初始投资（万元）</t>
        </is>
      </c>
      <c r="B16" s="49" t="n">
        <v>15000</v>
      </c>
      <c r="C16" s="50" t="n">
        <v>18000</v>
      </c>
      <c r="D16" s="51" t="n">
        <v>21000</v>
      </c>
      <c r="E16" s="33" t="n">
        <v>-0.1666666666666667</v>
      </c>
      <c r="F16" s="33" t="n">
        <v>0.1666666666666667</v>
      </c>
    </row>
    <row r="17">
      <c r="A17" s="31" t="inlineStr">
        <is>
          <t>第1年毛利（万元）</t>
        </is>
      </c>
      <c r="B17" s="49" t="n">
        <v>3475.447300058494</v>
      </c>
      <c r="C17" s="50" t="n">
        <v>2713.234232424469</v>
      </c>
      <c r="D17" s="51" t="n">
        <v>1937.107937826567</v>
      </c>
      <c r="E17" s="33" t="n">
        <v>0.280924167373833</v>
      </c>
      <c r="F17" s="33" t="n">
        <v>-0.2860520795893014</v>
      </c>
    </row>
    <row r="18">
      <c r="A18" s="31" t="inlineStr">
        <is>
          <t>年运维费（万元）</t>
        </is>
      </c>
      <c r="B18" s="49" t="n">
        <v>300</v>
      </c>
      <c r="C18" s="50" t="n">
        <v>360</v>
      </c>
      <c r="D18" s="51" t="n">
        <v>420</v>
      </c>
      <c r="E18" s="33" t="n">
        <v>-0.1666666666666667</v>
      </c>
      <c r="F18" s="33" t="n">
        <v>0.1666666666666667</v>
      </c>
    </row>
    <row r="19">
      <c r="A19" s="31" t="inlineStr">
        <is>
          <t>NPV（万元）</t>
        </is>
      </c>
      <c r="B19" s="49" t="n">
        <v>6885.211619124339</v>
      </c>
      <c r="C19" s="50" t="n">
        <v>-3551.869319339273</v>
      </c>
      <c r="D19" s="51" t="n">
        <v>-12722.20037435591</v>
      </c>
      <c r="E19" s="33" t="n">
        <v>2.938475489972458</v>
      </c>
      <c r="F19" s="33" t="n">
        <v>-2.581832334057413</v>
      </c>
    </row>
    <row r="20">
      <c r="A20" s="31" t="inlineStr">
        <is>
          <t>IRR</t>
        </is>
      </c>
      <c r="B20" s="52" t="n">
        <v>0.1514648815079641</v>
      </c>
      <c r="C20" s="53" t="n">
        <v>0.03227703223619623</v>
      </c>
      <c r="D20" s="54" t="n">
        <v>-0.08082731327645536</v>
      </c>
      <c r="E20" s="33" t="n">
        <v>0.1191878492717679</v>
      </c>
      <c r="F20" s="33" t="n">
        <v>-0.1131043455126516</v>
      </c>
    </row>
    <row r="21">
      <c r="A21" s="31" t="inlineStr">
        <is>
          <t>动态回收期（年）</t>
        </is>
      </c>
      <c r="B21" s="55" t="n">
        <v>4.013938068028491</v>
      </c>
      <c r="C21" s="56" t="n">
        <v>10</v>
      </c>
      <c r="D21" s="57" t="n">
        <v>10</v>
      </c>
      <c r="E21" s="58" t="inlineStr">
        <is>
          <t>N/A</t>
        </is>
      </c>
      <c r="F21" s="58" t="inlineStr">
        <is>
          <t>N/A</t>
        </is>
      </c>
    </row>
    <row r="22"/>
    <row r="23">
      <c r="B23" s="59" t="inlineStr">
        <is>
          <t>乐观</t>
        </is>
      </c>
      <c r="C23" s="59" t="inlineStr">
        <is>
          <t>基准</t>
        </is>
      </c>
      <c r="D23" s="59" t="inlineStr">
        <is>
          <t>悲观</t>
        </is>
      </c>
    </row>
    <row r="24">
      <c r="A24" s="2" t="inlineStr">
        <is>
          <t>NPV</t>
        </is>
      </c>
      <c r="B24" s="60" t="n">
        <v>6885.211619124339</v>
      </c>
      <c r="C24" s="60" t="n">
        <v>-3551.869319339273</v>
      </c>
      <c r="D24" s="60" t="n">
        <v>-12722.20037435591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B41" s="59" t="inlineStr">
        <is>
          <t>乐观</t>
        </is>
      </c>
      <c r="C41" s="59" t="inlineStr">
        <is>
          <t>基准</t>
        </is>
      </c>
      <c r="D41" s="59" t="inlineStr">
        <is>
          <t>悲观</t>
        </is>
      </c>
    </row>
    <row r="42">
      <c r="A42" s="2" t="inlineStr">
        <is>
          <t>IRR</t>
        </is>
      </c>
      <c r="B42" s="61" t="n">
        <v>0.1514648815079641</v>
      </c>
      <c r="C42" s="61" t="n">
        <v>0.03227703223619623</v>
      </c>
      <c r="D42" s="61" t="n">
        <v>-0.08082731327645536</v>
      </c>
    </row>
  </sheetData>
  <mergeCells count="3">
    <mergeCell ref="A2:F2"/>
    <mergeCell ref="A14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2026-06-30T14:30:42Z</dcterms:created>
  <dcterms:modified xmlns:dcterms="http://purl.org/dc/terms/" xmlns:xsi="http://www.w3.org/2001/XMLSchema-instance" xsi:type="dcterms:W3CDTF">2026-06-30T14:30:43Z</dcterms:modified>
</cp:coreProperties>
</file>